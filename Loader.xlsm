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55\Documents\Working Copy\TaskScheduler\"/>
    </mc:Choice>
  </mc:AlternateContent>
  <bookViews>
    <workbookView xWindow="0" yWindow="0" windowWidth="21570" windowHeight="6960" activeTab="7"/>
  </bookViews>
  <sheets>
    <sheet name="Job" sheetId="4" r:id="rId1"/>
    <sheet name="Task" sheetId="9" r:id="rId2"/>
    <sheet name="EmailTrigger" sheetId="1" r:id="rId3"/>
    <sheet name="FolderTrigger" sheetId="3" r:id="rId4"/>
    <sheet name="SharepointTrigger" sheetId="5" r:id="rId5"/>
    <sheet name="SqlTrigger" sheetId="6" r:id="rId6"/>
    <sheet name="TimeTrigger" sheetId="10" r:id="rId7"/>
    <sheet name="FileTask" sheetId="2" r:id="rId8"/>
    <sheet name="RunTask" sheetId="8" r:id="rId9"/>
    <sheet name="Checks" sheetId="11" r:id="rId10"/>
  </sheets>
  <functionGroups builtInGroupCount="18"/>
  <calcPr calcId="171027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4" l="1"/>
  <c r="B28" i="4"/>
  <c r="B29" i="4"/>
  <c r="B30" i="4"/>
  <c r="B31" i="4"/>
  <c r="B32" i="4"/>
  <c r="B33" i="4"/>
  <c r="B34" i="4"/>
  <c r="B35" i="4"/>
  <c r="B26" i="4"/>
  <c r="B22" i="4"/>
  <c r="B25" i="4"/>
  <c r="B19" i="4"/>
  <c r="B15" i="4"/>
  <c r="B12" i="4"/>
  <c r="B10" i="4"/>
  <c r="B9" i="4"/>
  <c r="B8" i="4"/>
  <c r="B7" i="4"/>
  <c r="C48" i="9"/>
  <c r="C49" i="9" s="1"/>
  <c r="C46" i="9"/>
  <c r="C47" i="9" s="1"/>
  <c r="C44" i="9"/>
  <c r="C45" i="9" s="1"/>
  <c r="C41" i="9"/>
  <c r="C42" i="9" s="1"/>
  <c r="C39" i="9"/>
  <c r="C40" i="9" s="1"/>
  <c r="C37" i="9"/>
  <c r="C38" i="9" s="1"/>
  <c r="C34" i="9"/>
  <c r="C35" i="9" s="1"/>
  <c r="C32" i="9"/>
  <c r="C33" i="9" s="1"/>
  <c r="C30" i="9"/>
  <c r="C31" i="9" s="1"/>
  <c r="C28" i="9"/>
  <c r="C29" i="9" s="1"/>
  <c r="C26" i="9"/>
  <c r="C27" i="9" s="1"/>
  <c r="C23" i="9"/>
  <c r="C24" i="9" s="1"/>
  <c r="C21" i="9"/>
  <c r="C22" i="9" s="1"/>
  <c r="C19" i="9"/>
  <c r="C20" i="9" s="1"/>
  <c r="C17" i="9"/>
  <c r="C18" i="9" s="1"/>
  <c r="C15" i="9"/>
  <c r="C16" i="9" s="1"/>
  <c r="C13" i="9"/>
  <c r="C14" i="9" s="1"/>
  <c r="C11" i="9"/>
  <c r="C12" i="9" s="1"/>
  <c r="C9" i="9"/>
  <c r="C10" i="9" s="1"/>
  <c r="A8" i="2"/>
  <c r="A9" i="2"/>
  <c r="A10" i="2"/>
  <c r="A13" i="3"/>
  <c r="A23" i="8"/>
  <c r="A11" i="2"/>
  <c r="A28" i="8"/>
  <c r="A24" i="1"/>
  <c r="A9" i="1"/>
  <c r="A16" i="8"/>
  <c r="A18" i="8"/>
  <c r="A26" i="8"/>
  <c r="A8" i="3"/>
  <c r="A21" i="1"/>
  <c r="A9" i="8"/>
  <c r="A10" i="8"/>
  <c r="A19" i="1"/>
  <c r="A12" i="8"/>
  <c r="A8" i="1"/>
  <c r="A15" i="8"/>
  <c r="A24" i="8"/>
  <c r="A11" i="3"/>
  <c r="A9" i="3"/>
  <c r="A22" i="1"/>
  <c r="A12" i="2"/>
  <c r="A13" i="2"/>
  <c r="A18" i="1"/>
  <c r="A11" i="8"/>
  <c r="A13" i="1"/>
  <c r="A12" i="3"/>
  <c r="A10" i="3"/>
  <c r="A23" i="1"/>
  <c r="A20" i="1"/>
  <c r="A14" i="8"/>
  <c r="A11" i="1"/>
  <c r="A17" i="3"/>
  <c r="A14" i="1"/>
  <c r="A14" i="2"/>
  <c r="A15" i="2"/>
  <c r="A16" i="1"/>
  <c r="A8" i="8"/>
  <c r="A17" i="8"/>
  <c r="A22" i="8"/>
  <c r="A15" i="3"/>
  <c r="A15" i="1"/>
  <c r="A17" i="1"/>
  <c r="A13" i="8"/>
  <c r="A10" i="1"/>
  <c r="A12" i="1"/>
  <c r="A19" i="8"/>
  <c r="A20" i="8"/>
  <c r="A21" i="8"/>
  <c r="A27" i="8"/>
  <c r="A16" i="2"/>
  <c r="A25" i="8"/>
  <c r="A14" i="3"/>
  <c r="A16" i="3"/>
  <c r="A7" i="2"/>
  <c r="A7" i="10"/>
  <c r="A7" i="6"/>
  <c r="A7" i="5"/>
  <c r="A7" i="3"/>
  <c r="A7" i="8"/>
  <c r="A7" i="1"/>
  <c r="B13" i="4" l="1"/>
  <c r="B18" i="4"/>
  <c r="B21" i="4"/>
  <c r="B17" i="4"/>
  <c r="B23" i="4"/>
  <c r="B14" i="4"/>
  <c r="B11" i="4"/>
  <c r="B16" i="4"/>
  <c r="B20" i="4"/>
  <c r="B24" i="4"/>
  <c r="B10" i="9"/>
  <c r="B34" i="9"/>
  <c r="B23" i="9"/>
  <c r="B41" i="9"/>
  <c r="B48" i="9"/>
  <c r="B47" i="9"/>
  <c r="B44" i="9"/>
  <c r="B22" i="9"/>
  <c r="B20" i="9"/>
  <c r="B38" i="9"/>
  <c r="B35" i="9"/>
  <c r="B27" i="9"/>
  <c r="B40" i="9"/>
  <c r="B18" i="9"/>
  <c r="B12" i="9"/>
  <c r="B39" i="9"/>
  <c r="B32" i="9"/>
  <c r="B8" i="9"/>
  <c r="B24" i="9"/>
  <c r="B30" i="9"/>
  <c r="B28" i="9"/>
  <c r="B45" i="9"/>
  <c r="B29" i="9"/>
  <c r="B7" i="9"/>
  <c r="B16" i="9"/>
  <c r="B14" i="9"/>
  <c r="B49" i="9"/>
  <c r="B33" i="9"/>
  <c r="B31" i="9"/>
  <c r="B25" i="9"/>
  <c r="B43" i="9"/>
  <c r="B50" i="9"/>
  <c r="B36" i="9"/>
  <c r="B46" i="9"/>
  <c r="B42" i="9"/>
  <c r="B26" i="9"/>
  <c r="B37" i="9"/>
  <c r="B17" i="9"/>
  <c r="B15" i="9"/>
  <c r="B19" i="9"/>
  <c r="B11" i="9"/>
  <c r="B13" i="9"/>
  <c r="B9" i="9"/>
  <c r="B21" i="9"/>
</calcChain>
</file>

<file path=xl/sharedStrings.xml><?xml version="1.0" encoding="utf-8"?>
<sst xmlns="http://schemas.openxmlformats.org/spreadsheetml/2006/main" count="464" uniqueCount="192">
  <si>
    <t>TriggerID</t>
  </si>
  <si>
    <t>EmailAddress</t>
  </si>
  <si>
    <t>MonitorFolder</t>
  </si>
  <si>
    <t>SubjectSubstring</t>
  </si>
  <si>
    <t>SubjectIsExactMatch</t>
  </si>
  <si>
    <t>FileNameSubstring</t>
  </si>
  <si>
    <t>FileExtension</t>
  </si>
  <si>
    <t>FileNameIsExactMatch</t>
  </si>
  <si>
    <t>MoveFolder</t>
  </si>
  <si>
    <t>almfiahedging@delawarelife.com</t>
  </si>
  <si>
    <t>Inbox</t>
  </si>
  <si>
    <t>.xls</t>
  </si>
  <si>
    <t>FolderToMonitor</t>
  </si>
  <si>
    <t>SharepointSite</t>
  </si>
  <si>
    <t>SharepointFolder</t>
  </si>
  <si>
    <t>InstanceName</t>
  </si>
  <si>
    <t>DBName</t>
  </si>
  <si>
    <t>SQLCode</t>
  </si>
  <si>
    <t>EventType</t>
  </si>
  <si>
    <t>TaskId</t>
  </si>
  <si>
    <t>DestinationFolder</t>
  </si>
  <si>
    <t>ToIncludeDate</t>
  </si>
  <si>
    <t>DateFormat</t>
  </si>
  <si>
    <t>ToUnzip</t>
  </si>
  <si>
    <t>ProgramRunType</t>
  </si>
  <si>
    <t>ProgramLocation</t>
  </si>
  <si>
    <t>ProgramName</t>
  </si>
  <si>
    <t>ProgramCommaDelimParams</t>
  </si>
  <si>
    <t>JobName</t>
  </si>
  <si>
    <t>Priority</t>
  </si>
  <si>
    <t>ToWaitForFinish</t>
  </si>
  <si>
    <t>Deriv Holdings Report</t>
  </si>
  <si>
    <t>ELIC Liab Upload</t>
  </si>
  <si>
    <t>FirstExecutionTime(EST)</t>
  </si>
  <si>
    <t>ExecutionFrequency</t>
  </si>
  <si>
    <t>ExecutionFrequencyUnits</t>
  </si>
  <si>
    <t>TriggerId</t>
  </si>
  <si>
    <t>string</t>
  </si>
  <si>
    <t>Server</t>
  </si>
  <si>
    <t>192.168.108.62\MEGATRON2016</t>
  </si>
  <si>
    <t>Database</t>
  </si>
  <si>
    <t>Table</t>
  </si>
  <si>
    <t>TaskScheduler</t>
  </si>
  <si>
    <t>dbo.Task</t>
  </si>
  <si>
    <t>dbo.RunTask</t>
  </si>
  <si>
    <t>dbo.FileTask</t>
  </si>
  <si>
    <t>dbo.TimeTrigger</t>
  </si>
  <si>
    <t>dbo.SqlTrigger</t>
  </si>
  <si>
    <t>dbo.SharepointTrigger</t>
  </si>
  <si>
    <t>dbo.FolderTrigger</t>
  </si>
  <si>
    <t>dbo.EmailTrigger</t>
  </si>
  <si>
    <t>dbo.Job</t>
  </si>
  <si>
    <t>bool</t>
  </si>
  <si>
    <t>int</t>
  </si>
  <si>
    <t>DataLoaderOptions.exe</t>
  </si>
  <si>
    <t>C:\Users\DE55\Documents\Working Copy\TaskScheduler\TaskScheduler\bin\Debug\</t>
  </si>
  <si>
    <t>barclays</t>
  </si>
  <si>
    <t>bnp</t>
  </si>
  <si>
    <t>citi</t>
  </si>
  <si>
    <t>deutschebank</t>
  </si>
  <si>
    <t>div</t>
  </si>
  <si>
    <t>dlicasset</t>
  </si>
  <si>
    <t>dlicnbfia</t>
  </si>
  <si>
    <t>elic</t>
  </si>
  <si>
    <t>gisassets</t>
  </si>
  <si>
    <t>glac</t>
  </si>
  <si>
    <t>goldman</t>
  </si>
  <si>
    <t>iap</t>
  </si>
  <si>
    <t>index</t>
  </si>
  <si>
    <t>keyport</t>
  </si>
  <si>
    <t>morganstanley</t>
  </si>
  <si>
    <t>nac</t>
  </si>
  <si>
    <t>rates</t>
  </si>
  <si>
    <t>sntl</t>
  </si>
  <si>
    <t>sundex</t>
  </si>
  <si>
    <t>vol</t>
  </si>
  <si>
    <t>wellsfargo</t>
  </si>
  <si>
    <t>RunTask</t>
  </si>
  <si>
    <t>Command Line</t>
  </si>
  <si>
    <t>Stored Procedure</t>
  </si>
  <si>
    <t>F:\actuary\DACT\ALM\FIAHedging\DBUpload\Bloomberg\ToUpload\</t>
  </si>
  <si>
    <t>yyyyMMdd</t>
  </si>
  <si>
    <t>F:\actuary\DACT\ALM\FIAHedging\DBUpload\Collateral Reports\ToUpload\</t>
  </si>
  <si>
    <t>F:\actuary\DACT\ALM\FIAHedging\DBUpload\DLIC Keyport\ToUpload\</t>
  </si>
  <si>
    <t>F:\actuary\DACT\ALM\FIAHedging\DBUpload\DLIC NB FIA\ToUpload\</t>
  </si>
  <si>
    <t>F:\actuary\DACT\ALM\FIAHedging\DBUpload\DLIC Sundex\ToUpload\</t>
  </si>
  <si>
    <t>F:\actuary\DACT\ALM\FIAHedging\DBUpload\GIS Assets\ToUpload\</t>
  </si>
  <si>
    <t>F:\actuary\DACT\ALM\FIAHedging\DBUpload\GLAC\ToUpload\</t>
  </si>
  <si>
    <t>F:\actuary\DACT\ALM\FIAHedging\DBUpload\IAP\ToUpload\</t>
  </si>
  <si>
    <t>F:\actuary\DACT\ALM\FIAHedging\DBUpload\NAC\ToUpload\</t>
  </si>
  <si>
    <t>F:\actuary\DACT\ALM\FIAHedging\DBUpload\SNTL\ToUpload\</t>
  </si>
  <si>
    <t>yyyyMMdd_HHmmsstt</t>
  </si>
  <si>
    <t>https://delawarelife.sharepoint.com/sites/Delaware.Reports/</t>
  </si>
  <si>
    <t>Documents</t>
  </si>
  <si>
    <t>rpt_fia_invstmnt</t>
  </si>
  <si>
    <t>F:\actuary\DACT\ALM\FIAHedging\FTPRepo\IN\</t>
  </si>
  <si>
    <t>INV_Daily_Option_</t>
  </si>
  <si>
    <t>.xlsx</t>
  </si>
  <si>
    <t>FIAs for GLAC</t>
  </si>
  <si>
    <t>Sentinel Security Life</t>
  </si>
  <si>
    <t>GLAC_ARCVAL</t>
  </si>
  <si>
    <t>.ext</t>
  </si>
  <si>
    <t>SE2_GLAC</t>
  </si>
  <si>
    <t>.txt</t>
  </si>
  <si>
    <t>G:\actuary\DACT\DATA_LIABILITIES\Megatron_SQLBackup\Bloomberg\</t>
  </si>
  <si>
    <t>Div</t>
  </si>
  <si>
    <t>SPX_BVOl</t>
  </si>
  <si>
    <t>YieldCurve</t>
  </si>
  <si>
    <t>BBMarketPrices430pm</t>
  </si>
  <si>
    <t>BNP CPM</t>
  </si>
  <si>
    <t>Barclays CPM</t>
  </si>
  <si>
    <t>CITI CPM</t>
  </si>
  <si>
    <t>Deutsche Bank CPM</t>
  </si>
  <si>
    <t>Bloomberg Div</t>
  </si>
  <si>
    <t>DLIC NB FIA Liabilities</t>
  </si>
  <si>
    <t>GIS Assets</t>
  </si>
  <si>
    <t>GLAC Liabilities</t>
  </si>
  <si>
    <t>Goldman Sachs CPM</t>
  </si>
  <si>
    <t>IAP Liabilities</t>
  </si>
  <si>
    <t>Bloomberg Index Values</t>
  </si>
  <si>
    <t>Keyport Liabilities</t>
  </si>
  <si>
    <t>Morgan Stanley CPM</t>
  </si>
  <si>
    <t>NAC Liabilities</t>
  </si>
  <si>
    <t>Bloomberg Rates</t>
  </si>
  <si>
    <t>SNTL Liabilities</t>
  </si>
  <si>
    <t>Sundex Liabilities</t>
  </si>
  <si>
    <t>Bloomberg Vol Surface</t>
  </si>
  <si>
    <t>Wells Fargo CPM</t>
  </si>
  <si>
    <t>G:\actuary\DACT\DATA_LIABILITIES\SE2P2\KP_DATA_CLOSET_FIX\</t>
  </si>
  <si>
    <t>DEL_KP</t>
  </si>
  <si>
    <t>.zip</t>
  </si>
  <si>
    <t>G:\actuary\DACT\DATA_LIABILITIES\SE2P2\SUNDEX\</t>
  </si>
  <si>
    <t>DEL_SUNDEX</t>
  </si>
  <si>
    <t>CVGTradeValuation</t>
  </si>
  <si>
    <t>Downloaded Collateral Reports</t>
  </si>
  <si>
    <t xml:space="preserve"> Exposure Statement</t>
  </si>
  <si>
    <t xml:space="preserve"> Portfolio</t>
  </si>
  <si>
    <t xml:space="preserve"> ExposureStatement_DELAWARE</t>
  </si>
  <si>
    <t xml:space="preserve"> Trade_Detail_GSIL</t>
  </si>
  <si>
    <t xml:space="preserve"> NETIEDOPTION</t>
  </si>
  <si>
    <t xml:space="preserve"> ExposureReport </t>
  </si>
  <si>
    <t>CVGClientStatement</t>
  </si>
  <si>
    <t>Collateral Positions - BNP PARIBAS</t>
  </si>
  <si>
    <t>Collateral Confirmation Notice</t>
  </si>
  <si>
    <t>Margin</t>
  </si>
  <si>
    <t>MSIP DELAWARE LIFE INSURANCE</t>
  </si>
  <si>
    <t>Daily Statement</t>
  </si>
  <si>
    <t>CBNA</t>
  </si>
  <si>
    <t>Exposure Statement</t>
  </si>
  <si>
    <t>Interest</t>
  </si>
  <si>
    <t>Sentinel</t>
  </si>
  <si>
    <t>Downloaded SNTL Reports</t>
  </si>
  <si>
    <t>TimeUnits</t>
  </si>
  <si>
    <t>Minutes</t>
  </si>
  <si>
    <t>Hours</t>
  </si>
  <si>
    <t>Days</t>
  </si>
  <si>
    <t>Weeks</t>
  </si>
  <si>
    <t>Months</t>
  </si>
  <si>
    <t>Years</t>
  </si>
  <si>
    <t>date</t>
  </si>
  <si>
    <t>Update</t>
  </si>
  <si>
    <t>Unknown</t>
  </si>
  <si>
    <t>Truncate</t>
  </si>
  <si>
    <t>TemplateLimit</t>
  </si>
  <si>
    <t>Restart</t>
  </si>
  <si>
    <t>Resource</t>
  </si>
  <si>
    <t>Query</t>
  </si>
  <si>
    <t>PreviousFire</t>
  </si>
  <si>
    <t>Options</t>
  </si>
  <si>
    <t>Merge</t>
  </si>
  <si>
    <t>Isolation</t>
  </si>
  <si>
    <t>Invalid</t>
  </si>
  <si>
    <t>Insert</t>
  </si>
  <si>
    <t>Expired</t>
  </si>
  <si>
    <t>Drop</t>
  </si>
  <si>
    <t>Delete</t>
  </si>
  <si>
    <t>Alter</t>
  </si>
  <si>
    <t>Err</t>
  </si>
  <si>
    <t>AlreadyChanged</t>
  </si>
  <si>
    <t>ChangeTypes</t>
  </si>
  <si>
    <t>dbo.UpdateMarketData</t>
  </si>
  <si>
    <t>Data Source=Megatron\MEGATRON2016; Persist Security Info=True; Initial Catalog=OptionValuationProduction;Integrated Security=True</t>
  </si>
  <si>
    <t>Move Other Collateral Reports 1</t>
  </si>
  <si>
    <t>Move Other Collateral Reports 2</t>
  </si>
  <si>
    <t>Move Other Collateral Reports 3</t>
  </si>
  <si>
    <t>Move Other Collateral Reports 4</t>
  </si>
  <si>
    <t>Move Other Collateral Reports 5</t>
  </si>
  <si>
    <t>Move Other Collateral Reports 6</t>
  </si>
  <si>
    <t>Move Other Collateral Reports 7</t>
  </si>
  <si>
    <t>Move Other Collateral Reports 8</t>
  </si>
  <si>
    <t>Move Other Collateral Reports 9</t>
  </si>
  <si>
    <t>Move Other Collateral Reports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</si>
</sst>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2" borderId="1" xfId="1"/>
    <xf numFmtId="0" fontId="2" fillId="0" borderId="0" xfId="2"/>
    <xf numFmtId="0" fontId="0" fillId="0" borderId="0" xfId="0" applyNumberFormat="1"/>
  </cellXfs>
  <cellStyles count="3">
    <cellStyle name="Hyperlink" xfId="2" builtinId="8"/>
    <cellStyle name="Input" xfId="1" builtinId="20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114300</xdr:rowOff>
    </xdr:from>
    <xdr:to>
      <xdr:col>4</xdr:col>
      <xdr:colOff>447675</xdr:colOff>
      <xdr:row>2</xdr:row>
      <xdr:rowOff>66675</xdr:rowOff>
    </xdr:to>
    <xdr:sp macro="[0]!quickExport" textlink="">
      <xdr:nvSpPr>
        <xdr:cNvPr id="2" name="Rectangle 1">
          <a:extLst>
            <a:ext uri="{FF2B5EF4-FFF2-40B4-BE49-F238E27FC236}">
              <a16:creationId xmlns:a16="http://schemas.microsoft.com/office/drawing/2014/main" id="{5649F33E-F6D2-4B28-9B58-B5FA2DC5955F}"/>
            </a:ext>
          </a:extLst>
        </xdr:cNvPr>
        <xdr:cNvSpPr/>
      </xdr:nvSpPr>
      <xdr:spPr>
        <a:xfrm>
          <a:off x="5857875" y="114300"/>
          <a:ext cx="15335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942975</xdr:colOff>
      <xdr:row>2</xdr:row>
      <xdr:rowOff>142875</xdr:rowOff>
    </xdr:to>
    <xdr:sp macro="[0]!quickExport" textlink="">
      <xdr:nvSpPr>
        <xdr:cNvPr id="2" name="Rectangle 1">
          <a:extLst>
            <a:ext uri="{FF2B5EF4-FFF2-40B4-BE49-F238E27FC236}">
              <a16:creationId xmlns:a16="http://schemas.microsoft.com/office/drawing/2014/main" id="{4C7893D5-2ABD-43D9-82B2-68BBEC4E2B71}"/>
            </a:ext>
          </a:extLst>
        </xdr:cNvPr>
        <xdr:cNvSpPr/>
      </xdr:nvSpPr>
      <xdr:spPr>
        <a:xfrm>
          <a:off x="5743575" y="190500"/>
          <a:ext cx="9429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942975</xdr:colOff>
      <xdr:row>2</xdr:row>
      <xdr:rowOff>142875</xdr:rowOff>
    </xdr:to>
    <xdr:sp macro="[0]!quickExport" textlink="">
      <xdr:nvSpPr>
        <xdr:cNvPr id="3" name="Rectangle 2">
          <a:extLst>
            <a:ext uri="{FF2B5EF4-FFF2-40B4-BE49-F238E27FC236}">
              <a16:creationId xmlns:a16="http://schemas.microsoft.com/office/drawing/2014/main" id="{79E71BFA-E629-476E-97A1-705857132EAC}"/>
            </a:ext>
          </a:extLst>
        </xdr:cNvPr>
        <xdr:cNvSpPr/>
      </xdr:nvSpPr>
      <xdr:spPr>
        <a:xfrm>
          <a:off x="5743575" y="190500"/>
          <a:ext cx="9429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942975</xdr:colOff>
      <xdr:row>2</xdr:row>
      <xdr:rowOff>142875</xdr:rowOff>
    </xdr:to>
    <xdr:sp macro="[0]!quickExport" textlink="">
      <xdr:nvSpPr>
        <xdr:cNvPr id="2" name="Rectangle 1">
          <a:extLst>
            <a:ext uri="{FF2B5EF4-FFF2-40B4-BE49-F238E27FC236}">
              <a16:creationId xmlns:a16="http://schemas.microsoft.com/office/drawing/2014/main" id="{574BE13D-21DA-4A8E-A76F-FA85F74530C5}"/>
            </a:ext>
          </a:extLst>
        </xdr:cNvPr>
        <xdr:cNvSpPr/>
      </xdr:nvSpPr>
      <xdr:spPr>
        <a:xfrm>
          <a:off x="5743575" y="190500"/>
          <a:ext cx="9429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942975</xdr:colOff>
      <xdr:row>2</xdr:row>
      <xdr:rowOff>142875</xdr:rowOff>
    </xdr:to>
    <xdr:sp macro="[0]!quickExport" textlink="">
      <xdr:nvSpPr>
        <xdr:cNvPr id="2" name="Rectangle 1">
          <a:extLst>
            <a:ext uri="{FF2B5EF4-FFF2-40B4-BE49-F238E27FC236}">
              <a16:creationId xmlns:a16="http://schemas.microsoft.com/office/drawing/2014/main" id="{26FE6844-D7F6-4F1C-8931-764A9C6C41B8}"/>
            </a:ext>
          </a:extLst>
        </xdr:cNvPr>
        <xdr:cNvSpPr/>
      </xdr:nvSpPr>
      <xdr:spPr>
        <a:xfrm>
          <a:off x="5743575" y="190500"/>
          <a:ext cx="9429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Data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942975</xdr:colOff>
      <xdr:row>2</xdr:row>
      <xdr:rowOff>142875</xdr:rowOff>
    </xdr:to>
    <xdr:sp macro="[0]!quickExport" textlink="">
      <xdr:nvSpPr>
        <xdr:cNvPr id="2" name="Rectangle 1">
          <a:extLst>
            <a:ext uri="{FF2B5EF4-FFF2-40B4-BE49-F238E27FC236}">
              <a16:creationId xmlns:a16="http://schemas.microsoft.com/office/drawing/2014/main" id="{047AF114-6DB7-466D-B416-2201282FB045}"/>
            </a:ext>
          </a:extLst>
        </xdr:cNvPr>
        <xdr:cNvSpPr/>
      </xdr:nvSpPr>
      <xdr:spPr>
        <a:xfrm>
          <a:off x="5743575" y="190500"/>
          <a:ext cx="9429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Data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942975</xdr:colOff>
      <xdr:row>2</xdr:row>
      <xdr:rowOff>142875</xdr:rowOff>
    </xdr:to>
    <xdr:sp macro="[0]!quickExport" textlink="">
      <xdr:nvSpPr>
        <xdr:cNvPr id="2" name="Rectangle 1">
          <a:extLst>
            <a:ext uri="{FF2B5EF4-FFF2-40B4-BE49-F238E27FC236}">
              <a16:creationId xmlns:a16="http://schemas.microsoft.com/office/drawing/2014/main" id="{BF7B6139-7C6D-4900-B8AE-B27FB2C7ED0B}"/>
            </a:ext>
          </a:extLst>
        </xdr:cNvPr>
        <xdr:cNvSpPr/>
      </xdr:nvSpPr>
      <xdr:spPr>
        <a:xfrm>
          <a:off x="5743575" y="190500"/>
          <a:ext cx="9429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942975</xdr:colOff>
      <xdr:row>2</xdr:row>
      <xdr:rowOff>142875</xdr:rowOff>
    </xdr:to>
    <xdr:sp macro="[0]!quickExport" textlink="">
      <xdr:nvSpPr>
        <xdr:cNvPr id="2" name="Rectangle 1">
          <a:extLst>
            <a:ext uri="{FF2B5EF4-FFF2-40B4-BE49-F238E27FC236}">
              <a16:creationId xmlns:a16="http://schemas.microsoft.com/office/drawing/2014/main" id="{3FE9B911-2C13-4BA5-8750-1A49FE70208F}"/>
            </a:ext>
          </a:extLst>
        </xdr:cNvPr>
        <xdr:cNvSpPr/>
      </xdr:nvSpPr>
      <xdr:spPr>
        <a:xfrm>
          <a:off x="5743575" y="190500"/>
          <a:ext cx="9429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942975</xdr:colOff>
      <xdr:row>2</xdr:row>
      <xdr:rowOff>142875</xdr:rowOff>
    </xdr:to>
    <xdr:sp macro="[0]!quickExport" textlink="">
      <xdr:nvSpPr>
        <xdr:cNvPr id="2" name="Rectangle 1">
          <a:extLst>
            <a:ext uri="{FF2B5EF4-FFF2-40B4-BE49-F238E27FC236}">
              <a16:creationId xmlns:a16="http://schemas.microsoft.com/office/drawing/2014/main" id="{B169960D-DF0B-4D3E-A36D-2D1425D31C7C}"/>
            </a:ext>
          </a:extLst>
        </xdr:cNvPr>
        <xdr:cNvSpPr/>
      </xdr:nvSpPr>
      <xdr:spPr>
        <a:xfrm>
          <a:off x="5743575" y="190500"/>
          <a:ext cx="9429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6:B35" totalsRowShown="0">
  <autoFilter ref="A6:B35"/>
  <tableColumns count="2">
    <tableColumn id="1" name="JobName"/>
    <tableColumn id="2" name="TriggerId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0" name="Table10" displayName="Table10" ref="A6:D50" totalsRowShown="0">
  <autoFilter ref="A6:D50"/>
  <tableColumns count="4">
    <tableColumn id="1" name="JobName"/>
    <tableColumn id="2" name="TaskId" dataDxfId="0">
      <calculatedColumnFormula>FileTask!#REF!</calculatedColumnFormula>
    </tableColumn>
    <tableColumn id="3" name="Priority"/>
    <tableColumn id="4" name="ToWaitForFinish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6:I24" totalsRowShown="0">
  <autoFilter ref="A6:I24"/>
  <tableColumns count="9">
    <tableColumn id="10" name="TriggerID">
      <calculatedColumnFormula>CreateGuidString()</calculatedColumnFormula>
    </tableColumn>
    <tableColumn id="2" name="EmailAddress" dataCellStyle="Hyperlink"/>
    <tableColumn id="3" name="MonitorFolder"/>
    <tableColumn id="4" name="SubjectSubstring"/>
    <tableColumn id="5" name="SubjectIsExactMatch"/>
    <tableColumn id="6" name="FileNameSubstring"/>
    <tableColumn id="7" name="FileExtension"/>
    <tableColumn id="8" name="FileNameIsExactMatch"/>
    <tableColumn id="9" name="MoveFolder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6:E17" totalsRowShown="0">
  <autoFilter ref="A6:E17"/>
  <tableColumns count="5">
    <tableColumn id="1" name="TriggerID">
      <calculatedColumnFormula>CreateGuidString()</calculatedColumnFormula>
    </tableColumn>
    <tableColumn id="2" name="FolderToMonitor"/>
    <tableColumn id="3" name="FileNameSubstring"/>
    <tableColumn id="4" name="FileNameIsExactMatch"/>
    <tableColumn id="5" name="FileExtension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6:F7" totalsRowShown="0">
  <autoFilter ref="A6:F7"/>
  <tableColumns count="6">
    <tableColumn id="1" name="TriggerID">
      <calculatedColumnFormula>CreateGuidString()</calculatedColumnFormula>
    </tableColumn>
    <tableColumn id="2" name="SharepointSite"/>
    <tableColumn id="3" name="SharepointFolder"/>
    <tableColumn id="4" name="FileNameSubstring"/>
    <tableColumn id="5" name="FileNameIsExactMatch"/>
    <tableColumn id="6" name="FileExtension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6:E7" totalsRowShown="0">
  <autoFilter ref="A6:E7"/>
  <tableColumns count="5">
    <tableColumn id="1" name="TriggerID">
      <calculatedColumnFormula>CreateGuidString()</calculatedColumnFormula>
    </tableColumn>
    <tableColumn id="2" name="InstanceName"/>
    <tableColumn id="3" name="DBName"/>
    <tableColumn id="4" name="SQLCode"/>
    <tableColumn id="5" name="EventType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A6:D7" totalsRowShown="0">
  <autoFilter ref="A6:D7"/>
  <tableColumns count="4">
    <tableColumn id="1" name="TriggerID">
      <calculatedColumnFormula>CreateGuidString()</calculatedColumnFormula>
    </tableColumn>
    <tableColumn id="2" name="FirstExecutionTime(EST)"/>
    <tableColumn id="3" name="ExecutionFrequency"/>
    <tableColumn id="4" name="ExecutionFrequencyUnits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6:E16" totalsRowShown="0">
  <autoFilter ref="A6:E16"/>
  <tableColumns count="5">
    <tableColumn id="1" name="TaskId">
      <calculatedColumnFormula>CreateGuidString()</calculatedColumnFormula>
    </tableColumn>
    <tableColumn id="2" name="DestinationFolder"/>
    <tableColumn id="3" name="ToIncludeDate"/>
    <tableColumn id="4" name="DateFormat"/>
    <tableColumn id="5" name="ToUnzip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6:E28" totalsRowShown="0">
  <autoFilter ref="A6:E28"/>
  <tableColumns count="5">
    <tableColumn id="1" name="TaskId">
      <calculatedColumnFormula>CreateGuidString()</calculatedColumnFormula>
    </tableColumn>
    <tableColumn id="2" name="ProgramRunType"/>
    <tableColumn id="3" name="ProgramLocation"/>
    <tableColumn id="4" name="ProgramName"/>
    <tableColumn id="5" name="ProgramCommaDelimParams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id="11" name="RunTask" displayName="RunTask" ref="B2:B4" totalsRowShown="0">
  <autoFilter ref="B2:B4"/>
  <tableColumns count="1">
    <tableColumn id="1" name="RunTask"/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12" name="TimeUnits" displayName="TimeUnits" ref="D2:D8" totalsRowShown="0">
  <autoFilter ref="D2:D8"/>
  <tableColumns count="1">
    <tableColumn id="1" name="TimeUnits"/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13" name="ChangeTypes" displayName="ChangeTypes" ref="F2:F21" totalsRowShown="0">
  <autoFilter ref="F2:F21"/>
  <tableColumns count="1">
    <tableColumn id="1" name="ChangeTypes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lmfiahedging@delawarelife.com" TargetMode="External"/><Relationship Id="rId13" Type="http://schemas.openxmlformats.org/officeDocument/2006/relationships/hyperlink" Target="mailto:almfiahedging@delawarelife.com" TargetMode="External"/><Relationship Id="rId18" Type="http://schemas.openxmlformats.org/officeDocument/2006/relationships/hyperlink" Target="mailto:almfiahedging@delawarelife.com" TargetMode="External"/><Relationship Id="rId3" Type="http://schemas.openxmlformats.org/officeDocument/2006/relationships/hyperlink" Target="mailto:almfiahedging@delawarelife.com" TargetMode="External"/><Relationship Id="rId7" Type="http://schemas.openxmlformats.org/officeDocument/2006/relationships/hyperlink" Target="mailto:almfiahedging@delawarelife.com" TargetMode="External"/><Relationship Id="rId12" Type="http://schemas.openxmlformats.org/officeDocument/2006/relationships/hyperlink" Target="mailto:almfiahedging@delawarelife.com" TargetMode="External"/><Relationship Id="rId17" Type="http://schemas.openxmlformats.org/officeDocument/2006/relationships/hyperlink" Target="mailto:almfiahedging@delawarelife.com" TargetMode="External"/><Relationship Id="rId2" Type="http://schemas.openxmlformats.org/officeDocument/2006/relationships/hyperlink" Target="mailto:almfiahedging@delawarelife.com" TargetMode="External"/><Relationship Id="rId16" Type="http://schemas.openxmlformats.org/officeDocument/2006/relationships/hyperlink" Target="mailto:almfiahedging@delawarelife.com" TargetMode="External"/><Relationship Id="rId20" Type="http://schemas.openxmlformats.org/officeDocument/2006/relationships/table" Target="../tables/table3.xml"/><Relationship Id="rId1" Type="http://schemas.openxmlformats.org/officeDocument/2006/relationships/hyperlink" Target="mailto:almfiahedging@delawarelife.com" TargetMode="External"/><Relationship Id="rId6" Type="http://schemas.openxmlformats.org/officeDocument/2006/relationships/hyperlink" Target="mailto:almfiahedging@delawarelife.com" TargetMode="External"/><Relationship Id="rId11" Type="http://schemas.openxmlformats.org/officeDocument/2006/relationships/hyperlink" Target="mailto:almfiahedging@delawarelife.com" TargetMode="External"/><Relationship Id="rId5" Type="http://schemas.openxmlformats.org/officeDocument/2006/relationships/hyperlink" Target="mailto:almfiahedging@delawarelife.com" TargetMode="External"/><Relationship Id="rId15" Type="http://schemas.openxmlformats.org/officeDocument/2006/relationships/hyperlink" Target="mailto:almfiahedging@delawarelife.com" TargetMode="External"/><Relationship Id="rId10" Type="http://schemas.openxmlformats.org/officeDocument/2006/relationships/hyperlink" Target="mailto:almfiahedging@delawarelife.com" TargetMode="External"/><Relationship Id="rId19" Type="http://schemas.openxmlformats.org/officeDocument/2006/relationships/drawing" Target="../drawings/drawing3.xml"/><Relationship Id="rId4" Type="http://schemas.openxmlformats.org/officeDocument/2006/relationships/hyperlink" Target="mailto:almfiahedging@delawarelife.com" TargetMode="External"/><Relationship Id="rId9" Type="http://schemas.openxmlformats.org/officeDocument/2006/relationships/hyperlink" Target="mailto:almfiahedging@delawarelife.com" TargetMode="External"/><Relationship Id="rId14" Type="http://schemas.openxmlformats.org/officeDocument/2006/relationships/hyperlink" Target="mailto:almfiahedging@delawarelife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>
      <selection activeCell="B15" sqref="B15"/>
    </sheetView>
  </sheetViews>
  <sheetFormatPr defaultRowHeight="15" x14ac:dyDescent="0.25"/>
  <cols>
    <col min="1" max="1" width="31" bestFit="1" customWidth="1"/>
    <col min="2" max="2" width="38.28515625" bestFit="1" customWidth="1"/>
  </cols>
  <sheetData>
    <row r="1" spans="1:2" x14ac:dyDescent="0.25">
      <c r="A1" t="s">
        <v>38</v>
      </c>
      <c r="B1" s="1" t="s">
        <v>39</v>
      </c>
    </row>
    <row r="2" spans="1:2" x14ac:dyDescent="0.25">
      <c r="A2" t="s">
        <v>40</v>
      </c>
      <c r="B2" s="1" t="s">
        <v>42</v>
      </c>
    </row>
    <row r="3" spans="1:2" x14ac:dyDescent="0.25">
      <c r="A3" t="s">
        <v>41</v>
      </c>
      <c r="B3" s="1" t="s">
        <v>51</v>
      </c>
    </row>
    <row r="5" spans="1:2" x14ac:dyDescent="0.25">
      <c r="A5" t="s">
        <v>37</v>
      </c>
      <c r="B5" t="s">
        <v>37</v>
      </c>
    </row>
    <row r="6" spans="1:2" x14ac:dyDescent="0.25">
      <c r="A6" t="s">
        <v>28</v>
      </c>
      <c r="B6" t="s">
        <v>36</v>
      </c>
    </row>
    <row r="7" spans="1:2" x14ac:dyDescent="0.25">
      <c r="A7" t="s">
        <v>110</v>
      </c>
      <c r="B7" t="str">
        <f>EmailTrigger!A7</f>
        <v>{FCC88114-6A05-4A27-A925-494205D80FCB}</v>
      </c>
    </row>
    <row r="8" spans="1:2" x14ac:dyDescent="0.25">
      <c r="A8" t="s">
        <v>109</v>
      </c>
      <c r="B8" t="str">
        <f>EmailTrigger!A8</f>
        <v>{C1F89C0E-4702-407E-998C-82EA2BF45F11}</v>
      </c>
    </row>
    <row r="9" spans="1:2" x14ac:dyDescent="0.25">
      <c r="A9" t="s">
        <v>111</v>
      </c>
      <c r="B9" t="str">
        <f>EmailTrigger!A9</f>
        <v>{D5F4CB1C-F023-41B6-93ED-65612ECDF2B5}</v>
      </c>
    </row>
    <row r="10" spans="1:2" x14ac:dyDescent="0.25">
      <c r="A10" t="s">
        <v>112</v>
      </c>
      <c r="B10" t="str">
        <f>EmailTrigger!A10</f>
        <v>{0234F539-E8D3-42F2-B225-AB96212FDDC0}</v>
      </c>
    </row>
    <row r="11" spans="1:2" x14ac:dyDescent="0.25">
      <c r="A11" t="s">
        <v>113</v>
      </c>
      <c r="B11" t="str">
        <f>FolderTrigger!A12</f>
        <v>{BEC9DA0C-B3E3-45D8-8D6C-C48015805E3E}</v>
      </c>
    </row>
    <row r="12" spans="1:2" x14ac:dyDescent="0.25">
      <c r="A12" t="s">
        <v>114</v>
      </c>
      <c r="B12" t="str">
        <f>Table5[TriggerID]</f>
        <v>{59BF1123-380E-448B-928B-55561E8CC79A}</v>
      </c>
    </row>
    <row r="13" spans="1:2" x14ac:dyDescent="0.25">
      <c r="A13" t="s">
        <v>115</v>
      </c>
      <c r="B13" t="str">
        <f>FolderTrigger!A7</f>
        <v>{D424D33F-BF32-4071-BAED-51CC42E9F356}</v>
      </c>
    </row>
    <row r="14" spans="1:2" x14ac:dyDescent="0.25">
      <c r="A14" t="s">
        <v>116</v>
      </c>
      <c r="B14" t="str">
        <f>FolderTrigger!A10</f>
        <v>{FC0446C8-02EA-4A72-808E-A6561AD77F2F}</v>
      </c>
    </row>
    <row r="15" spans="1:2" x14ac:dyDescent="0.25">
      <c r="A15" t="s">
        <v>117</v>
      </c>
      <c r="B15" t="str">
        <f>EmailTrigger!A11</f>
        <v>{01F3B93D-03AA-499E-9F29-FC084012BD69}</v>
      </c>
    </row>
    <row r="16" spans="1:2" x14ac:dyDescent="0.25">
      <c r="A16" t="s">
        <v>118</v>
      </c>
      <c r="B16" t="str">
        <f>FolderTrigger!A11</f>
        <v>{DC40D66D-FF68-490E-B7D8-C0FD23990FEE}</v>
      </c>
    </row>
    <row r="17" spans="1:2" x14ac:dyDescent="0.25">
      <c r="A17" t="s">
        <v>119</v>
      </c>
      <c r="B17" t="str">
        <f>FolderTrigger!A15</f>
        <v>{616FE61D-F01C-4E09-A54F-5DA3A7E286C7}</v>
      </c>
    </row>
    <row r="18" spans="1:2" x14ac:dyDescent="0.25">
      <c r="A18" t="s">
        <v>120</v>
      </c>
      <c r="B18" t="str">
        <f>FolderTrigger!A16</f>
        <v>{9DD12F47-7563-4EFB-90A3-0AEF3575984A}</v>
      </c>
    </row>
    <row r="19" spans="1:2" x14ac:dyDescent="0.25">
      <c r="A19" t="s">
        <v>121</v>
      </c>
      <c r="B19" t="str">
        <f>EmailTrigger!A12</f>
        <v>{49347C97-3BF7-40C3-8F96-23B5ADDDA447}</v>
      </c>
    </row>
    <row r="20" spans="1:2" x14ac:dyDescent="0.25">
      <c r="A20" t="s">
        <v>122</v>
      </c>
      <c r="B20" t="str">
        <f>FolderTrigger!A8</f>
        <v>{78A439C2-064B-484D-B6F4-7EFEC2E8410D}</v>
      </c>
    </row>
    <row r="21" spans="1:2" x14ac:dyDescent="0.25">
      <c r="A21" t="s">
        <v>123</v>
      </c>
      <c r="B21" t="str">
        <f>FolderTrigger!A14</f>
        <v>{09EFCC69-875E-4FFE-A5B2-8CD3B9069A27}</v>
      </c>
    </row>
    <row r="22" spans="1:2" x14ac:dyDescent="0.25">
      <c r="A22" t="s">
        <v>124</v>
      </c>
      <c r="B22" t="str">
        <f>Table2[[#This Row],[TriggerID]]</f>
        <v>{B1D567FF-AA4D-4FC8-AA29-DEAB8D15ABDF}</v>
      </c>
    </row>
    <row r="23" spans="1:2" x14ac:dyDescent="0.25">
      <c r="A23" t="s">
        <v>125</v>
      </c>
      <c r="B23" t="str">
        <f>FolderTrigger!A17</f>
        <v>{33EE75E2-02E8-444A-8122-8F1DA7E082AC}</v>
      </c>
    </row>
    <row r="24" spans="1:2" x14ac:dyDescent="0.25">
      <c r="A24" t="s">
        <v>126</v>
      </c>
      <c r="B24" t="str">
        <f>FolderTrigger!A13</f>
        <v>{2E3D17A7-904F-4AA8-BBC6-CC3143A94A33}</v>
      </c>
    </row>
    <row r="25" spans="1:2" x14ac:dyDescent="0.25">
      <c r="A25" t="s">
        <v>127</v>
      </c>
      <c r="B25" t="str">
        <f>EmailTrigger!A13</f>
        <v>{836E908B-468E-40A1-A57F-0EA214BC817E}</v>
      </c>
    </row>
    <row r="26" spans="1:2" x14ac:dyDescent="0.25">
      <c r="A26" t="s">
        <v>182</v>
      </c>
      <c r="B26" t="str">
        <f>EmailTrigger!A14</f>
        <v>{FBE3B8BF-66E8-4A10-9A6E-4CA2790A2498}</v>
      </c>
    </row>
    <row r="27" spans="1:2" x14ac:dyDescent="0.25">
      <c r="A27" t="s">
        <v>183</v>
      </c>
      <c r="B27" t="str">
        <f>EmailTrigger!A15</f>
        <v>{08E1AFA4-6000-46DA-86CF-3F07E4DA15AD}</v>
      </c>
    </row>
    <row r="28" spans="1:2" x14ac:dyDescent="0.25">
      <c r="A28" t="s">
        <v>184</v>
      </c>
      <c r="B28" t="str">
        <f>EmailTrigger!A16</f>
        <v>{8B68DA51-038D-4902-86EF-6E85D9054CB8}</v>
      </c>
    </row>
    <row r="29" spans="1:2" x14ac:dyDescent="0.25">
      <c r="A29" t="s">
        <v>185</v>
      </c>
      <c r="B29" t="str">
        <f>EmailTrigger!A17</f>
        <v>{E365D83F-BB00-426C-9800-5D039903A6A4}</v>
      </c>
    </row>
    <row r="30" spans="1:2" x14ac:dyDescent="0.25">
      <c r="A30" t="s">
        <v>186</v>
      </c>
      <c r="B30" t="str">
        <f>EmailTrigger!A18</f>
        <v>{CE40D0DF-CCE3-4134-8319-CB0F1F716076}</v>
      </c>
    </row>
    <row r="31" spans="1:2" x14ac:dyDescent="0.25">
      <c r="A31" t="s">
        <v>187</v>
      </c>
      <c r="B31" t="str">
        <f>EmailTrigger!A19</f>
        <v>{6C29675F-F703-4900-92BC-AFA7B6A6BC4D}</v>
      </c>
    </row>
    <row r="32" spans="1:2" x14ac:dyDescent="0.25">
      <c r="A32" t="s">
        <v>188</v>
      </c>
      <c r="B32" t="str">
        <f>EmailTrigger!A20</f>
        <v>{B6A174CA-F33D-481C-A780-33073C5F7F88}</v>
      </c>
    </row>
    <row r="33" spans="1:2" x14ac:dyDescent="0.25">
      <c r="A33" t="s">
        <v>189</v>
      </c>
      <c r="B33" t="str">
        <f>EmailTrigger!A21</f>
        <v>{2A55527B-022F-408D-B67F-716ED1BDBD8B}</v>
      </c>
    </row>
    <row r="34" spans="1:2" x14ac:dyDescent="0.25">
      <c r="A34" t="s">
        <v>190</v>
      </c>
      <c r="B34" t="str">
        <f>EmailTrigger!A22</f>
        <v>{B1D567FF-AA4D-4FC8-AA29-DEAB8D15ABDF}</v>
      </c>
    </row>
    <row r="35" spans="1:2" x14ac:dyDescent="0.25">
      <c r="A35" t="s">
        <v>191</v>
      </c>
      <c r="B35" t="str">
        <f>EmailTrigger!A23</f>
        <v>{8477949C-5FCB-490C-A8EE-51953CA12483}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50"/>
  <sheetViews>
    <sheetView workbookViewId="0">
      <selection activeCell="B17" sqref="B17"/>
    </sheetView>
  </sheetViews>
  <sheetFormatPr defaultRowHeight="15" x14ac:dyDescent="0.25"/>
  <cols>
    <col min="1" max="1" width="23" bestFit="1" customWidth="1"/>
    <col min="2" max="2" width="29.42578125" bestFit="1" customWidth="1"/>
    <col min="3" max="3" width="9.85546875" bestFit="1" customWidth="1"/>
    <col min="4" max="4" width="18" bestFit="1" customWidth="1"/>
  </cols>
  <sheetData>
    <row r="1" spans="1:4" x14ac:dyDescent="0.25">
      <c r="A1" t="s">
        <v>38</v>
      </c>
      <c r="B1" s="1" t="s">
        <v>39</v>
      </c>
    </row>
    <row r="2" spans="1:4" x14ac:dyDescent="0.25">
      <c r="A2" t="s">
        <v>40</v>
      </c>
      <c r="B2" s="1" t="s">
        <v>42</v>
      </c>
    </row>
    <row r="3" spans="1:4" x14ac:dyDescent="0.25">
      <c r="A3" t="s">
        <v>41</v>
      </c>
      <c r="B3" s="1" t="s">
        <v>43</v>
      </c>
    </row>
    <row r="5" spans="1:4" x14ac:dyDescent="0.25">
      <c r="A5" t="s">
        <v>37</v>
      </c>
      <c r="B5" t="s">
        <v>37</v>
      </c>
      <c r="C5" t="s">
        <v>53</v>
      </c>
      <c r="D5" t="s">
        <v>52</v>
      </c>
    </row>
    <row r="6" spans="1:4" x14ac:dyDescent="0.25">
      <c r="A6" t="s">
        <v>28</v>
      </c>
      <c r="B6" t="s">
        <v>19</v>
      </c>
      <c r="C6" t="s">
        <v>29</v>
      </c>
      <c r="D6" t="s">
        <v>30</v>
      </c>
    </row>
    <row r="7" spans="1:4" x14ac:dyDescent="0.25">
      <c r="A7" t="s">
        <v>31</v>
      </c>
      <c r="B7" t="str">
        <f>RunTask!A12</f>
        <v>{92CC6041-766A-48F1-9DA9-7FB3F63841B0}</v>
      </c>
      <c r="C7">
        <v>2</v>
      </c>
      <c r="D7" t="b">
        <v>1</v>
      </c>
    </row>
    <row r="8" spans="1:4" x14ac:dyDescent="0.25">
      <c r="A8" t="s">
        <v>32</v>
      </c>
      <c r="B8" s="3" t="str">
        <f>RunTask!A14</f>
        <v>{4EA02B03-4DCF-45CB-A98D-83FC3931EC0C}</v>
      </c>
      <c r="C8">
        <v>2</v>
      </c>
      <c r="D8" t="b">
        <v>1</v>
      </c>
    </row>
    <row r="9" spans="1:4" x14ac:dyDescent="0.25">
      <c r="A9" t="s">
        <v>110</v>
      </c>
      <c r="B9" s="3" t="str">
        <f>FileTask!$A$8</f>
        <v>{878B6FAE-1220-42BF-951C-8250A785E5DD}</v>
      </c>
      <c r="C9">
        <f>IF(Table10[[#This Row],[JobName]]&lt;&gt;A8,1,C8+1)</f>
        <v>1</v>
      </c>
      <c r="D9" t="b">
        <v>1</v>
      </c>
    </row>
    <row r="10" spans="1:4" x14ac:dyDescent="0.25">
      <c r="A10" t="s">
        <v>110</v>
      </c>
      <c r="B10" s="3" t="str">
        <f>RunTask!$A$7</f>
        <v>{60E63407-8BB1-411D-AE91-D210525D5714}</v>
      </c>
      <c r="C10">
        <f>IF(Table10[[#This Row],[JobName]]&lt;&gt;A9,1,C9+1)</f>
        <v>2</v>
      </c>
      <c r="D10" t="b">
        <v>1</v>
      </c>
    </row>
    <row r="11" spans="1:4" x14ac:dyDescent="0.25">
      <c r="A11" t="s">
        <v>109</v>
      </c>
      <c r="B11" s="3" t="str">
        <f>FileTask!$A$8</f>
        <v>{878B6FAE-1220-42BF-951C-8250A785E5DD}</v>
      </c>
      <c r="C11">
        <f>IF(Table10[[#This Row],[JobName]]&lt;&gt;A10,1,C10+1)</f>
        <v>1</v>
      </c>
      <c r="D11" t="b">
        <v>1</v>
      </c>
    </row>
    <row r="12" spans="1:4" x14ac:dyDescent="0.25">
      <c r="A12" t="s">
        <v>109</v>
      </c>
      <c r="B12" s="3" t="str">
        <f>RunTask!$A$8</f>
        <v>{D0AD1385-90A4-4B29-A1B8-00E43360E5D1}</v>
      </c>
      <c r="C12">
        <f>IF(Table10[[#This Row],[JobName]]&lt;&gt;A11,1,C11+1)</f>
        <v>2</v>
      </c>
      <c r="D12" t="b">
        <v>1</v>
      </c>
    </row>
    <row r="13" spans="1:4" x14ac:dyDescent="0.25">
      <c r="A13" t="s">
        <v>111</v>
      </c>
      <c r="B13" s="3" t="str">
        <f>FileTask!$A$8</f>
        <v>{878B6FAE-1220-42BF-951C-8250A785E5DD}</v>
      </c>
      <c r="C13">
        <f>IF(Table10[[#This Row],[JobName]]&lt;&gt;A12,1,C12+1)</f>
        <v>1</v>
      </c>
      <c r="D13" t="b">
        <v>1</v>
      </c>
    </row>
    <row r="14" spans="1:4" x14ac:dyDescent="0.25">
      <c r="A14" t="s">
        <v>111</v>
      </c>
      <c r="B14" s="3" t="str">
        <f>RunTask!$A$9</f>
        <v>{8E54CDA1-EB44-4DDC-8B49-3584969E4EC3}</v>
      </c>
      <c r="C14">
        <f>IF(Table10[[#This Row],[JobName]]&lt;&gt;A13,1,C13+1)</f>
        <v>2</v>
      </c>
      <c r="D14" t="b">
        <v>1</v>
      </c>
    </row>
    <row r="15" spans="1:4" x14ac:dyDescent="0.25">
      <c r="A15" t="s">
        <v>112</v>
      </c>
      <c r="B15" s="3" t="str">
        <f>FileTask!$A$8</f>
        <v>{878B6FAE-1220-42BF-951C-8250A785E5DD}</v>
      </c>
      <c r="C15">
        <f>IF(Table10[[#This Row],[JobName]]&lt;&gt;A14,1,C14+1)</f>
        <v>1</v>
      </c>
      <c r="D15" t="b">
        <v>1</v>
      </c>
    </row>
    <row r="16" spans="1:4" x14ac:dyDescent="0.25">
      <c r="A16" t="s">
        <v>112</v>
      </c>
      <c r="B16" s="3" t="str">
        <f>RunTask!$A$10</f>
        <v>{18A0380A-0A2E-4CA2-A6A2-F4CECAAA053D}</v>
      </c>
      <c r="C16">
        <f>IF(Table10[[#This Row],[JobName]]&lt;&gt;A15,1,C15+1)</f>
        <v>2</v>
      </c>
      <c r="D16" t="b">
        <v>1</v>
      </c>
    </row>
    <row r="17" spans="1:4" x14ac:dyDescent="0.25">
      <c r="A17" t="s">
        <v>117</v>
      </c>
      <c r="B17" s="3" t="str">
        <f>FileTask!$A$8</f>
        <v>{878B6FAE-1220-42BF-951C-8250A785E5DD}</v>
      </c>
      <c r="C17">
        <f>IF(Table10[[#This Row],[JobName]]&lt;&gt;A16,1,C16+1)</f>
        <v>1</v>
      </c>
      <c r="D17" t="b">
        <v>1</v>
      </c>
    </row>
    <row r="18" spans="1:4" x14ac:dyDescent="0.25">
      <c r="A18" t="s">
        <v>117</v>
      </c>
      <c r="B18" s="3" t="str">
        <f>RunTask!$A$17</f>
        <v>{BC0DB46D-A7C1-49B4-BE0A-D617A0DEB8F9}</v>
      </c>
      <c r="C18">
        <f>IF(Table10[[#This Row],[JobName]]&lt;&gt;A17,1,C17+1)</f>
        <v>2</v>
      </c>
      <c r="D18" t="b">
        <v>1</v>
      </c>
    </row>
    <row r="19" spans="1:4" x14ac:dyDescent="0.25">
      <c r="A19" t="s">
        <v>121</v>
      </c>
      <c r="B19" s="3" t="str">
        <f>FileTask!$A$8</f>
        <v>{878B6FAE-1220-42BF-951C-8250A785E5DD}</v>
      </c>
      <c r="C19">
        <f>IF(Table10[[#This Row],[JobName]]&lt;&gt;A18,1,C18+1)</f>
        <v>1</v>
      </c>
      <c r="D19" t="b">
        <v>1</v>
      </c>
    </row>
    <row r="20" spans="1:4" x14ac:dyDescent="0.25">
      <c r="A20" t="s">
        <v>121</v>
      </c>
      <c r="B20" s="3" t="str">
        <f>RunTask!$A$21</f>
        <v>{4186743A-805D-48A2-B73D-E041BB0C5E78}</v>
      </c>
      <c r="C20">
        <f>IF(Table10[[#This Row],[JobName]]&lt;&gt;A19,1,C19+1)</f>
        <v>2</v>
      </c>
      <c r="D20" t="b">
        <v>1</v>
      </c>
    </row>
    <row r="21" spans="1:4" x14ac:dyDescent="0.25">
      <c r="A21" t="s">
        <v>127</v>
      </c>
      <c r="B21" s="3" t="str">
        <f>FileTask!$A$8</f>
        <v>{878B6FAE-1220-42BF-951C-8250A785E5DD}</v>
      </c>
      <c r="C21">
        <f>IF(Table10[[#This Row],[JobName]]&lt;&gt;A20,1,C20+1)</f>
        <v>1</v>
      </c>
      <c r="D21" t="b">
        <v>1</v>
      </c>
    </row>
    <row r="22" spans="1:4" x14ac:dyDescent="0.25">
      <c r="A22" t="s">
        <v>127</v>
      </c>
      <c r="B22" s="3" t="str">
        <f>RunTask!$A$27</f>
        <v>{0777B4EE-F716-4E07-905E-FBBA4C9974F5}</v>
      </c>
      <c r="C22">
        <f>IF(Table10[[#This Row],[JobName]]&lt;&gt;A21,1,C21+1)</f>
        <v>2</v>
      </c>
      <c r="D22" t="b">
        <v>1</v>
      </c>
    </row>
    <row r="23" spans="1:4" x14ac:dyDescent="0.25">
      <c r="A23" t="s">
        <v>113</v>
      </c>
      <c r="B23" s="3" t="str">
        <f>FileTask!A7</f>
        <v>{9D89737C-BA72-4135-B18C-7AA94FDF5050}</v>
      </c>
      <c r="C23">
        <f>IF(Table10[[#This Row],[JobName]]&lt;&gt;A22,1,C22+1)</f>
        <v>1</v>
      </c>
      <c r="D23" t="b">
        <v>1</v>
      </c>
    </row>
    <row r="24" spans="1:4" x14ac:dyDescent="0.25">
      <c r="A24" t="s">
        <v>113</v>
      </c>
      <c r="B24" s="3" t="str">
        <f>RunTask!$A$11</f>
        <v>{D92A6692-4DB9-4ACC-B0CB-D144123B79E3}</v>
      </c>
      <c r="C24">
        <f>IF(Table10[[#This Row],[JobName]]&lt;&gt;A23,1,C23+1)</f>
        <v>2</v>
      </c>
      <c r="D24" t="b">
        <v>1</v>
      </c>
    </row>
    <row r="25" spans="1:4" x14ac:dyDescent="0.25">
      <c r="A25" t="s">
        <v>113</v>
      </c>
      <c r="B25" s="3" t="str">
        <f>RunTask!$A$28</f>
        <v>{CC21E446-98B3-4018-B9BA-6DFB62ECAB3E}</v>
      </c>
      <c r="C25">
        <v>3</v>
      </c>
      <c r="D25" t="b">
        <v>1</v>
      </c>
    </row>
    <row r="26" spans="1:4" x14ac:dyDescent="0.25">
      <c r="A26" t="s">
        <v>114</v>
      </c>
      <c r="B26" s="3" t="str">
        <f>FileTask!A10</f>
        <v>{C3323622-0118-4CE8-83AB-84A213D45CA1}</v>
      </c>
      <c r="C26">
        <f>IF(Table10[[#This Row],[JobName]]&lt;&gt;A24,1,C24+1)</f>
        <v>1</v>
      </c>
      <c r="D26" t="b">
        <v>1</v>
      </c>
    </row>
    <row r="27" spans="1:4" x14ac:dyDescent="0.25">
      <c r="A27" t="s">
        <v>114</v>
      </c>
      <c r="B27" s="3" t="str">
        <f>RunTask!A13</f>
        <v>{A246D7B3-EFC3-456A-B600-14B3D87CAE13}</v>
      </c>
      <c r="C27">
        <f>IF(Table10[[#This Row],[JobName]]&lt;&gt;A26,1,C26+1)</f>
        <v>2</v>
      </c>
      <c r="D27" t="b">
        <v>1</v>
      </c>
    </row>
    <row r="28" spans="1:4" x14ac:dyDescent="0.25">
      <c r="A28" t="s">
        <v>115</v>
      </c>
      <c r="B28" s="3" t="str">
        <f>FileTask!A12</f>
        <v>{20D88921-E15B-4299-82BD-E9A3CCABF87B}</v>
      </c>
      <c r="C28">
        <f>IF(Table10[[#This Row],[JobName]]&lt;&gt;A27,1,C27+1)</f>
        <v>1</v>
      </c>
      <c r="D28" t="b">
        <v>1</v>
      </c>
    </row>
    <row r="29" spans="1:4" x14ac:dyDescent="0.25">
      <c r="A29" t="s">
        <v>115</v>
      </c>
      <c r="B29" s="3" t="str">
        <f>RunTask!A15</f>
        <v>{4A121549-922D-411F-9382-04921F1642A9}</v>
      </c>
      <c r="C29">
        <f>IF(Table10[[#This Row],[JobName]]&lt;&gt;A28,1,C28+1)</f>
        <v>2</v>
      </c>
      <c r="D29" t="b">
        <v>1</v>
      </c>
    </row>
    <row r="30" spans="1:4" x14ac:dyDescent="0.25">
      <c r="A30" t="s">
        <v>116</v>
      </c>
      <c r="B30" s="3" t="str">
        <f>FileTask!A13</f>
        <v>{6BD9B3B9-EC81-4824-B9F8-2F1EDD129757}</v>
      </c>
      <c r="C30">
        <f>IF(Table10[[#This Row],[JobName]]&lt;&gt;A29,1,C29+1)</f>
        <v>1</v>
      </c>
      <c r="D30" t="b">
        <v>1</v>
      </c>
    </row>
    <row r="31" spans="1:4" x14ac:dyDescent="0.25">
      <c r="A31" t="s">
        <v>116</v>
      </c>
      <c r="B31" s="3" t="str">
        <f>RunTask!A16</f>
        <v>{1FA34A96-85F9-4FD8-B785-2BF0F946508F}</v>
      </c>
      <c r="C31">
        <f>IF(Table10[[#This Row],[JobName]]&lt;&gt;A30,1,C30+1)</f>
        <v>2</v>
      </c>
      <c r="D31" t="b">
        <v>1</v>
      </c>
    </row>
    <row r="32" spans="1:4" x14ac:dyDescent="0.25">
      <c r="A32" t="s">
        <v>118</v>
      </c>
      <c r="B32" s="3" t="str">
        <f>FileTask!A14</f>
        <v>{4BA1BE46-D139-4E16-941A-D490C0FE36FF}</v>
      </c>
      <c r="C32">
        <f>IF(Table10[[#This Row],[JobName]]&lt;&gt;A31,1,C31+1)</f>
        <v>1</v>
      </c>
      <c r="D32" t="b">
        <v>1</v>
      </c>
    </row>
    <row r="33" spans="1:4" x14ac:dyDescent="0.25">
      <c r="A33" t="s">
        <v>118</v>
      </c>
      <c r="B33" s="3" t="str">
        <f>RunTask!A18</f>
        <v>{DFAC503E-EFD2-4B6E-BD19-7FEFC4847B4B}</v>
      </c>
      <c r="C33">
        <f>IF(Table10[[#This Row],[JobName]]&lt;&gt;A32,1,C32+1)</f>
        <v>2</v>
      </c>
      <c r="D33" t="b">
        <v>1</v>
      </c>
    </row>
    <row r="34" spans="1:4" x14ac:dyDescent="0.25">
      <c r="A34" t="s">
        <v>119</v>
      </c>
      <c r="B34" s="3" t="str">
        <f>FileTask!A7</f>
        <v>{9D89737C-BA72-4135-B18C-7AA94FDF5050}</v>
      </c>
      <c r="C34">
        <f>IF(Table10[[#This Row],[JobName]]&lt;&gt;A33,1,C33+1)</f>
        <v>1</v>
      </c>
      <c r="D34" t="b">
        <v>1</v>
      </c>
    </row>
    <row r="35" spans="1:4" x14ac:dyDescent="0.25">
      <c r="A35" t="s">
        <v>119</v>
      </c>
      <c r="B35" s="3" t="str">
        <f>RunTask!A19</f>
        <v>{BFB09FA3-C7AA-49BC-9C00-0653C139848D}</v>
      </c>
      <c r="C35">
        <f>IF(Table10[[#This Row],[JobName]]&lt;&gt;A34,1,C34+1)</f>
        <v>2</v>
      </c>
      <c r="D35" t="b">
        <v>1</v>
      </c>
    </row>
    <row r="36" spans="1:4" x14ac:dyDescent="0.25">
      <c r="A36" t="s">
        <v>119</v>
      </c>
      <c r="B36" s="3" t="str">
        <f>RunTask!$A$28</f>
        <v>{CC21E446-98B3-4018-B9BA-6DFB62ECAB3E}</v>
      </c>
      <c r="C36">
        <v>3</v>
      </c>
      <c r="D36" t="b">
        <v>1</v>
      </c>
    </row>
    <row r="37" spans="1:4" x14ac:dyDescent="0.25">
      <c r="A37" t="s">
        <v>120</v>
      </c>
      <c r="B37" s="3" t="str">
        <f>FileTask!A9</f>
        <v>{A5EEF774-2AAA-4CD6-8BB7-46A3FCA3AF8F}</v>
      </c>
      <c r="C37">
        <f>IF(Table10[[#This Row],[JobName]]&lt;&gt;A35,1,C35+1)</f>
        <v>1</v>
      </c>
      <c r="D37" t="b">
        <v>1</v>
      </c>
    </row>
    <row r="38" spans="1:4" x14ac:dyDescent="0.25">
      <c r="A38" t="s">
        <v>120</v>
      </c>
      <c r="B38" s="3" t="str">
        <f>RunTask!A20</f>
        <v>{A29AF81D-71C1-4A38-AD56-E9DE9E1E4B38}</v>
      </c>
      <c r="C38">
        <f>IF(Table10[[#This Row],[JobName]]&lt;&gt;A37,1,C37+1)</f>
        <v>2</v>
      </c>
      <c r="D38" t="b">
        <v>1</v>
      </c>
    </row>
    <row r="39" spans="1:4" x14ac:dyDescent="0.25">
      <c r="A39" t="s">
        <v>122</v>
      </c>
      <c r="B39" s="3" t="str">
        <f>FileTask!A15</f>
        <v>{7884AC63-66B7-4E16-8AE5-0750E6875CEB}</v>
      </c>
      <c r="C39">
        <f>IF(Table10[[#This Row],[JobName]]&lt;&gt;A38,1,C38+1)</f>
        <v>1</v>
      </c>
      <c r="D39" t="b">
        <v>1</v>
      </c>
    </row>
    <row r="40" spans="1:4" x14ac:dyDescent="0.25">
      <c r="A40" t="s">
        <v>122</v>
      </c>
      <c r="B40" s="3" t="str">
        <f>RunTask!A22</f>
        <v>{BD95A194-70F2-4E27-8476-00E1FF431C00}</v>
      </c>
      <c r="C40">
        <f>IF(Table10[[#This Row],[JobName]]&lt;&gt;A39,1,C39+1)</f>
        <v>2</v>
      </c>
      <c r="D40" t="b">
        <v>1</v>
      </c>
    </row>
    <row r="41" spans="1:4" x14ac:dyDescent="0.25">
      <c r="A41" t="s">
        <v>123</v>
      </c>
      <c r="B41" s="3" t="str">
        <f>FileTask!A7</f>
        <v>{9D89737C-BA72-4135-B18C-7AA94FDF5050}</v>
      </c>
      <c r="C41">
        <f>IF(Table10[[#This Row],[JobName]]&lt;&gt;A40,1,C40+1)</f>
        <v>1</v>
      </c>
      <c r="D41" t="b">
        <v>1</v>
      </c>
    </row>
    <row r="42" spans="1:4" x14ac:dyDescent="0.25">
      <c r="A42" t="s">
        <v>123</v>
      </c>
      <c r="B42" s="3" t="str">
        <f>RunTask!A23</f>
        <v>{85550F9F-C71F-46F1-9A6D-EBD78B2D4DB8}</v>
      </c>
      <c r="C42">
        <f>IF(Table10[[#This Row],[JobName]]&lt;&gt;A41,1,C41+1)</f>
        <v>2</v>
      </c>
      <c r="D42" t="b">
        <v>1</v>
      </c>
    </row>
    <row r="43" spans="1:4" x14ac:dyDescent="0.25">
      <c r="A43" t="s">
        <v>123</v>
      </c>
      <c r="B43" s="3" t="str">
        <f>RunTask!$A$28</f>
        <v>{CC21E446-98B3-4018-B9BA-6DFB62ECAB3E}</v>
      </c>
      <c r="C43">
        <v>3</v>
      </c>
      <c r="D43" t="b">
        <v>1</v>
      </c>
    </row>
    <row r="44" spans="1:4" x14ac:dyDescent="0.25">
      <c r="A44" t="s">
        <v>124</v>
      </c>
      <c r="B44" s="3" t="str">
        <f>FileTask!A16</f>
        <v>{50F6DFB6-0357-40EA-B33F-CB8B10C313CF}</v>
      </c>
      <c r="C44">
        <f>IF(Table10[[#This Row],[JobName]]&lt;&gt;A42,1,C42+1)</f>
        <v>1</v>
      </c>
      <c r="D44" t="b">
        <v>1</v>
      </c>
    </row>
    <row r="45" spans="1:4" x14ac:dyDescent="0.25">
      <c r="A45" t="s">
        <v>124</v>
      </c>
      <c r="B45" s="3" t="str">
        <f>RunTask!A24</f>
        <v>{8E7F53EB-BD25-4FDE-A39E-99A06BD77511}</v>
      </c>
      <c r="C45">
        <f>IF(Table10[[#This Row],[JobName]]&lt;&gt;A44,1,C44+1)</f>
        <v>2</v>
      </c>
      <c r="D45" t="b">
        <v>1</v>
      </c>
    </row>
    <row r="46" spans="1:4" x14ac:dyDescent="0.25">
      <c r="A46" t="s">
        <v>125</v>
      </c>
      <c r="B46" s="3" t="str">
        <f>FileTask!A11</f>
        <v>{575A5DC6-5A4C-4239-84B1-A0A4A6BD92A3}</v>
      </c>
      <c r="C46">
        <f>IF(Table10[[#This Row],[JobName]]&lt;&gt;A45,1,C45+1)</f>
        <v>1</v>
      </c>
      <c r="D46" t="b">
        <v>1</v>
      </c>
    </row>
    <row r="47" spans="1:4" x14ac:dyDescent="0.25">
      <c r="A47" t="s">
        <v>125</v>
      </c>
      <c r="B47" s="3" t="str">
        <f>RunTask!A25</f>
        <v>{3DA1949F-A7B0-442F-B65D-DB95F7772313}</v>
      </c>
      <c r="C47">
        <f>IF(Table10[[#This Row],[JobName]]&lt;&gt;A46,1,C46+1)</f>
        <v>2</v>
      </c>
      <c r="D47" t="b">
        <v>1</v>
      </c>
    </row>
    <row r="48" spans="1:4" x14ac:dyDescent="0.25">
      <c r="A48" t="s">
        <v>126</v>
      </c>
      <c r="B48" s="3" t="str">
        <f>FileTask!A7</f>
        <v>{9D89737C-BA72-4135-B18C-7AA94FDF5050}</v>
      </c>
      <c r="C48">
        <f>IF(Table10[[#This Row],[JobName]]&lt;&gt;A47,1,C47+1)</f>
        <v>1</v>
      </c>
      <c r="D48" t="b">
        <v>1</v>
      </c>
    </row>
    <row r="49" spans="1:4" x14ac:dyDescent="0.25">
      <c r="A49" t="s">
        <v>126</v>
      </c>
      <c r="B49" s="3" t="str">
        <f>RunTask!A26</f>
        <v>{D89B3F54-22F9-4FEC-812C-2CEF77EDA256}</v>
      </c>
      <c r="C49">
        <f>IF(Table10[[#This Row],[JobName]]&lt;&gt;A48,1,C48+1)</f>
        <v>2</v>
      </c>
      <c r="D49" t="b">
        <v>1</v>
      </c>
    </row>
    <row r="50" spans="1:4" x14ac:dyDescent="0.25">
      <c r="A50" t="s">
        <v>126</v>
      </c>
      <c r="B50" s="3" t="str">
        <f>RunTask!$A$28</f>
        <v>{CC21E446-98B3-4018-B9BA-6DFB62ECAB3E}</v>
      </c>
      <c r="C50">
        <v>3</v>
      </c>
      <c r="D50" t="b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4"/>
  <sheetViews>
    <sheetView workbookViewId="0">
      <selection activeCell="A23" sqref="A14:A23"/>
    </sheetView>
  </sheetViews>
  <sheetFormatPr defaultRowHeight="15" x14ac:dyDescent="0.25"/>
  <cols>
    <col min="1" max="1" width="40" bestFit="1" customWidth="1"/>
    <col min="2" max="2" width="31.85546875" bestFit="1" customWidth="1"/>
    <col min="3" max="3" width="16.42578125" bestFit="1" customWidth="1"/>
    <col min="4" max="4" width="18.28515625" bestFit="1" customWidth="1"/>
    <col min="5" max="5" width="21.7109375" bestFit="1" customWidth="1"/>
    <col min="6" max="6" width="30.28515625" bestFit="1" customWidth="1"/>
    <col min="7" max="7" width="15.42578125" bestFit="1" customWidth="1"/>
    <col min="8" max="8" width="23.85546875" bestFit="1" customWidth="1"/>
    <col min="9" max="9" width="30.28515625" bestFit="1" customWidth="1"/>
  </cols>
  <sheetData>
    <row r="1" spans="1:12" x14ac:dyDescent="0.25">
      <c r="A1" t="s">
        <v>38</v>
      </c>
      <c r="B1" s="1" t="s">
        <v>39</v>
      </c>
    </row>
    <row r="2" spans="1:12" x14ac:dyDescent="0.25">
      <c r="A2" t="s">
        <v>40</v>
      </c>
      <c r="B2" s="1" t="s">
        <v>42</v>
      </c>
      <c r="F2" t="s">
        <v>133</v>
      </c>
      <c r="G2" t="s">
        <v>135</v>
      </c>
      <c r="H2" t="s">
        <v>136</v>
      </c>
      <c r="I2" t="s">
        <v>137</v>
      </c>
      <c r="J2" t="s">
        <v>138</v>
      </c>
      <c r="K2" t="s">
        <v>139</v>
      </c>
      <c r="L2" t="s">
        <v>140</v>
      </c>
    </row>
    <row r="3" spans="1:12" x14ac:dyDescent="0.25">
      <c r="A3" t="s">
        <v>41</v>
      </c>
      <c r="B3" s="1" t="s">
        <v>50</v>
      </c>
    </row>
    <row r="5" spans="1:12" x14ac:dyDescent="0.25">
      <c r="A5" t="s">
        <v>37</v>
      </c>
      <c r="B5" t="s">
        <v>37</v>
      </c>
      <c r="C5" t="s">
        <v>37</v>
      </c>
      <c r="D5" t="s">
        <v>37</v>
      </c>
      <c r="E5" t="s">
        <v>52</v>
      </c>
      <c r="F5" t="s">
        <v>37</v>
      </c>
      <c r="G5" t="s">
        <v>37</v>
      </c>
      <c r="H5" t="s">
        <v>52</v>
      </c>
      <c r="I5" t="s">
        <v>37</v>
      </c>
    </row>
    <row r="6" spans="1:12" x14ac:dyDescent="0.25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</row>
    <row r="7" spans="1:12" x14ac:dyDescent="0.25">
      <c r="A7" t="str">
        <f>CreateGuidString()</f>
        <v>{FCC88114-6A05-4A27-A925-494205D80FCB}</v>
      </c>
      <c r="B7" s="2" t="s">
        <v>9</v>
      </c>
      <c r="C7" t="s">
        <v>10</v>
      </c>
      <c r="F7" t="s">
        <v>133</v>
      </c>
      <c r="H7" t="b">
        <v>0</v>
      </c>
      <c r="I7" t="s">
        <v>134</v>
      </c>
    </row>
    <row r="8" spans="1:12" x14ac:dyDescent="0.25">
      <c r="A8" t="str">
        <f t="shared" ref="A8:A13" si="0">CreateGuidString()</f>
        <v>{C1F89C0E-4702-407E-998C-82EA2BF45F11}</v>
      </c>
      <c r="B8" s="2" t="s">
        <v>9</v>
      </c>
      <c r="C8" t="s">
        <v>10</v>
      </c>
      <c r="F8" t="s">
        <v>135</v>
      </c>
      <c r="H8" t="b">
        <v>0</v>
      </c>
      <c r="I8" t="s">
        <v>134</v>
      </c>
    </row>
    <row r="9" spans="1:12" x14ac:dyDescent="0.25">
      <c r="A9" t="str">
        <f t="shared" si="0"/>
        <v>{D5F4CB1C-F023-41B6-93ED-65612ECDF2B5}</v>
      </c>
      <c r="B9" s="2" t="s">
        <v>9</v>
      </c>
      <c r="C9" t="s">
        <v>10</v>
      </c>
      <c r="F9" t="s">
        <v>136</v>
      </c>
      <c r="H9" t="b">
        <v>0</v>
      </c>
      <c r="I9" t="s">
        <v>134</v>
      </c>
    </row>
    <row r="10" spans="1:12" x14ac:dyDescent="0.25">
      <c r="A10" t="str">
        <f t="shared" si="0"/>
        <v>{0234F539-E8D3-42F2-B225-AB96212FDDC0}</v>
      </c>
      <c r="B10" s="2" t="s">
        <v>9</v>
      </c>
      <c r="C10" t="s">
        <v>10</v>
      </c>
      <c r="F10" t="s">
        <v>137</v>
      </c>
      <c r="H10" t="b">
        <v>0</v>
      </c>
      <c r="I10" t="s">
        <v>134</v>
      </c>
    </row>
    <row r="11" spans="1:12" x14ac:dyDescent="0.25">
      <c r="A11" t="str">
        <f t="shared" si="0"/>
        <v>{01F3B93D-03AA-499E-9F29-FC084012BD69}</v>
      </c>
      <c r="B11" s="2" t="s">
        <v>9</v>
      </c>
      <c r="C11" t="s">
        <v>10</v>
      </c>
      <c r="F11" t="s">
        <v>138</v>
      </c>
      <c r="H11" t="b">
        <v>0</v>
      </c>
      <c r="I11" t="s">
        <v>134</v>
      </c>
    </row>
    <row r="12" spans="1:12" x14ac:dyDescent="0.25">
      <c r="A12" t="str">
        <f t="shared" si="0"/>
        <v>{49347C97-3BF7-40C3-8F96-23B5ADDDA447}</v>
      </c>
      <c r="B12" s="2" t="s">
        <v>9</v>
      </c>
      <c r="C12" t="s">
        <v>10</v>
      </c>
      <c r="F12" t="s">
        <v>139</v>
      </c>
      <c r="H12" t="b">
        <v>0</v>
      </c>
      <c r="I12" t="s">
        <v>134</v>
      </c>
    </row>
    <row r="13" spans="1:12" x14ac:dyDescent="0.25">
      <c r="A13" t="str">
        <f t="shared" si="0"/>
        <v>{836E908B-468E-40A1-A57F-0EA214BC817E}</v>
      </c>
      <c r="B13" s="2" t="s">
        <v>9</v>
      </c>
      <c r="C13" t="s">
        <v>10</v>
      </c>
      <c r="F13" t="s">
        <v>140</v>
      </c>
      <c r="H13" t="b">
        <v>0</v>
      </c>
      <c r="I13" t="s">
        <v>134</v>
      </c>
    </row>
    <row r="14" spans="1:12" x14ac:dyDescent="0.25">
      <c r="A14" t="str">
        <f t="shared" ref="A14:A20" si="1">CreateGuidString()</f>
        <v>{FBE3B8BF-66E8-4A10-9A6E-4CA2790A2498}</v>
      </c>
      <c r="B14" s="2" t="s">
        <v>9</v>
      </c>
      <c r="C14" t="s">
        <v>10</v>
      </c>
      <c r="D14" t="s">
        <v>141</v>
      </c>
      <c r="E14" t="b">
        <v>0</v>
      </c>
      <c r="I14" t="s">
        <v>134</v>
      </c>
    </row>
    <row r="15" spans="1:12" x14ac:dyDescent="0.25">
      <c r="A15" t="str">
        <f t="shared" si="1"/>
        <v>{08E1AFA4-6000-46DA-86CF-3F07E4DA15AD}</v>
      </c>
      <c r="B15" s="2" t="s">
        <v>9</v>
      </c>
      <c r="C15" t="s">
        <v>10</v>
      </c>
      <c r="D15" t="s">
        <v>142</v>
      </c>
      <c r="E15" t="b">
        <v>0</v>
      </c>
      <c r="I15" t="s">
        <v>134</v>
      </c>
    </row>
    <row r="16" spans="1:12" x14ac:dyDescent="0.25">
      <c r="A16" t="str">
        <f t="shared" si="1"/>
        <v>{8B68DA51-038D-4902-86EF-6E85D9054CB8}</v>
      </c>
      <c r="B16" s="2" t="s">
        <v>9</v>
      </c>
      <c r="C16" t="s">
        <v>10</v>
      </c>
      <c r="D16" t="s">
        <v>143</v>
      </c>
      <c r="E16" t="b">
        <v>0</v>
      </c>
      <c r="I16" t="s">
        <v>134</v>
      </c>
    </row>
    <row r="17" spans="1:9" x14ac:dyDescent="0.25">
      <c r="A17" t="str">
        <f t="shared" si="1"/>
        <v>{E365D83F-BB00-426C-9800-5D039903A6A4}</v>
      </c>
      <c r="B17" s="2" t="s">
        <v>9</v>
      </c>
      <c r="C17" t="s">
        <v>10</v>
      </c>
      <c r="D17" t="s">
        <v>144</v>
      </c>
      <c r="E17" t="b">
        <v>0</v>
      </c>
      <c r="I17" t="s">
        <v>134</v>
      </c>
    </row>
    <row r="18" spans="1:9" x14ac:dyDescent="0.25">
      <c r="A18" t="str">
        <f t="shared" si="1"/>
        <v>{CE40D0DF-CCE3-4134-8319-CB0F1F716076}</v>
      </c>
      <c r="B18" s="2" t="s">
        <v>9</v>
      </c>
      <c r="C18" t="s">
        <v>10</v>
      </c>
      <c r="D18" t="s">
        <v>145</v>
      </c>
      <c r="E18" t="b">
        <v>0</v>
      </c>
      <c r="I18" t="s">
        <v>134</v>
      </c>
    </row>
    <row r="19" spans="1:9" x14ac:dyDescent="0.25">
      <c r="A19" t="str">
        <f t="shared" si="1"/>
        <v>{6C29675F-F703-4900-92BC-AFA7B6A6BC4D}</v>
      </c>
      <c r="B19" s="2" t="s">
        <v>9</v>
      </c>
      <c r="C19" t="s">
        <v>10</v>
      </c>
      <c r="D19" t="s">
        <v>146</v>
      </c>
      <c r="E19" t="b">
        <v>0</v>
      </c>
      <c r="I19" t="s">
        <v>134</v>
      </c>
    </row>
    <row r="20" spans="1:9" x14ac:dyDescent="0.25">
      <c r="A20" t="str">
        <f t="shared" si="1"/>
        <v>{B6A174CA-F33D-481C-A780-33073C5F7F88}</v>
      </c>
      <c r="B20" s="2" t="s">
        <v>9</v>
      </c>
      <c r="C20" t="s">
        <v>10</v>
      </c>
      <c r="D20" t="s">
        <v>147</v>
      </c>
      <c r="E20" t="b">
        <v>0</v>
      </c>
      <c r="I20" t="s">
        <v>134</v>
      </c>
    </row>
    <row r="21" spans="1:9" x14ac:dyDescent="0.25">
      <c r="A21" t="str">
        <f t="shared" ref="A21:A23" si="2">CreateGuidString()</f>
        <v>{2A55527B-022F-408D-B67F-716ED1BDBD8B}</v>
      </c>
      <c r="B21" s="2" t="s">
        <v>9</v>
      </c>
      <c r="C21" t="s">
        <v>10</v>
      </c>
      <c r="D21" t="s">
        <v>148</v>
      </c>
      <c r="E21" t="b">
        <v>0</v>
      </c>
      <c r="I21" t="s">
        <v>134</v>
      </c>
    </row>
    <row r="22" spans="1:9" x14ac:dyDescent="0.25">
      <c r="A22" t="str">
        <f t="shared" si="2"/>
        <v>{B1D567FF-AA4D-4FC8-AA29-DEAB8D15ABDF}</v>
      </c>
      <c r="B22" s="2" t="s">
        <v>9</v>
      </c>
      <c r="C22" t="s">
        <v>10</v>
      </c>
      <c r="D22" t="s">
        <v>148</v>
      </c>
      <c r="E22" t="b">
        <v>0</v>
      </c>
      <c r="I22" t="s">
        <v>134</v>
      </c>
    </row>
    <row r="23" spans="1:9" x14ac:dyDescent="0.25">
      <c r="A23" t="str">
        <f t="shared" si="2"/>
        <v>{8477949C-5FCB-490C-A8EE-51953CA12483}</v>
      </c>
      <c r="B23" s="2" t="s">
        <v>9</v>
      </c>
      <c r="C23" t="s">
        <v>10</v>
      </c>
      <c r="D23" t="s">
        <v>149</v>
      </c>
      <c r="E23" t="b">
        <v>0</v>
      </c>
      <c r="I23" t="s">
        <v>134</v>
      </c>
    </row>
    <row r="24" spans="1:9" x14ac:dyDescent="0.25">
      <c r="A24" t="str">
        <f>CreateGuidString()</f>
        <v>{3B82F435-9BBF-425A-9754-56A4573D60AE}</v>
      </c>
      <c r="B24" s="2" t="s">
        <v>9</v>
      </c>
      <c r="C24" t="s">
        <v>10</v>
      </c>
      <c r="D24" t="s">
        <v>150</v>
      </c>
      <c r="E24" t="b">
        <v>0</v>
      </c>
      <c r="F24" t="s">
        <v>150</v>
      </c>
      <c r="G24" t="s">
        <v>97</v>
      </c>
      <c r="H24" t="b">
        <v>0</v>
      </c>
      <c r="I24" t="s">
        <v>151</v>
      </c>
    </row>
  </sheetData>
  <hyperlinks>
    <hyperlink ref="B7" r:id="rId1"/>
    <hyperlink ref="B8" r:id="rId2"/>
    <hyperlink ref="B9" r:id="rId3"/>
    <hyperlink ref="B10" r:id="rId4"/>
    <hyperlink ref="B11" r:id="rId5"/>
    <hyperlink ref="B12" r:id="rId6"/>
    <hyperlink ref="B13" r:id="rId7"/>
    <hyperlink ref="B14" r:id="rId8"/>
    <hyperlink ref="B15" r:id="rId9"/>
    <hyperlink ref="B16" r:id="rId10"/>
    <hyperlink ref="B17" r:id="rId11"/>
    <hyperlink ref="B18" r:id="rId12"/>
    <hyperlink ref="B19" r:id="rId13"/>
    <hyperlink ref="B20" r:id="rId14"/>
    <hyperlink ref="B21" r:id="rId15"/>
    <hyperlink ref="B22" r:id="rId16"/>
    <hyperlink ref="B23" r:id="rId17"/>
    <hyperlink ref="B24" r:id="rId18"/>
  </hyperlinks>
  <pageMargins left="0.7" right="0.7" top="0.75" bottom="0.75" header="0.3" footer="0.3"/>
  <drawing r:id="rId19"/>
  <tableParts count="1">
    <tablePart r:id="rId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7"/>
  <sheetViews>
    <sheetView workbookViewId="0">
      <selection activeCell="C20" sqref="C20"/>
    </sheetView>
  </sheetViews>
  <sheetFormatPr defaultRowHeight="15" x14ac:dyDescent="0.25"/>
  <cols>
    <col min="1" max="1" width="40.85546875" bestFit="1" customWidth="1"/>
    <col min="2" max="2" width="65.140625" bestFit="1" customWidth="1"/>
    <col min="3" max="3" width="21" bestFit="1" customWidth="1"/>
    <col min="4" max="4" width="23.85546875" bestFit="1" customWidth="1"/>
    <col min="5" max="5" width="15.42578125" bestFit="1" customWidth="1"/>
  </cols>
  <sheetData>
    <row r="1" spans="1:5" x14ac:dyDescent="0.25">
      <c r="A1" t="s">
        <v>38</v>
      </c>
      <c r="B1" s="1" t="s">
        <v>39</v>
      </c>
    </row>
    <row r="2" spans="1:5" x14ac:dyDescent="0.25">
      <c r="A2" t="s">
        <v>40</v>
      </c>
      <c r="B2" s="1" t="s">
        <v>42</v>
      </c>
    </row>
    <row r="3" spans="1:5" x14ac:dyDescent="0.25">
      <c r="A3" t="s">
        <v>41</v>
      </c>
      <c r="B3" s="1" t="s">
        <v>49</v>
      </c>
    </row>
    <row r="5" spans="1:5" x14ac:dyDescent="0.25">
      <c r="A5" t="s">
        <v>37</v>
      </c>
      <c r="B5" t="s">
        <v>37</v>
      </c>
      <c r="C5" t="s">
        <v>37</v>
      </c>
      <c r="D5" t="s">
        <v>52</v>
      </c>
      <c r="E5" t="s">
        <v>37</v>
      </c>
    </row>
    <row r="6" spans="1:5" x14ac:dyDescent="0.25">
      <c r="A6" t="s">
        <v>0</v>
      </c>
      <c r="B6" t="s">
        <v>12</v>
      </c>
      <c r="C6" t="s">
        <v>5</v>
      </c>
      <c r="D6" t="s">
        <v>7</v>
      </c>
      <c r="E6" t="s">
        <v>6</v>
      </c>
    </row>
    <row r="7" spans="1:5" x14ac:dyDescent="0.25">
      <c r="A7" t="str">
        <f>CreateGuidString()</f>
        <v>{D424D33F-BF32-4071-BAED-51CC42E9F356}</v>
      </c>
      <c r="B7" t="s">
        <v>95</v>
      </c>
      <c r="C7" t="s">
        <v>96</v>
      </c>
      <c r="D7" t="b">
        <v>0</v>
      </c>
      <c r="E7" t="s">
        <v>97</v>
      </c>
    </row>
    <row r="8" spans="1:5" x14ac:dyDescent="0.25">
      <c r="A8" t="str">
        <f>CreateGuidString()</f>
        <v>{78A439C2-064B-484D-B6F4-7EFEC2E8410D}</v>
      </c>
      <c r="B8" t="s">
        <v>95</v>
      </c>
      <c r="C8" t="s">
        <v>98</v>
      </c>
      <c r="D8" t="b">
        <v>0</v>
      </c>
      <c r="E8" t="s">
        <v>97</v>
      </c>
    </row>
    <row r="9" spans="1:5" x14ac:dyDescent="0.25">
      <c r="A9" t="str">
        <f>CreateGuidString()</f>
        <v>{F488140B-8423-4E5E-B2AF-847EE913EABA}</v>
      </c>
      <c r="B9" t="s">
        <v>95</v>
      </c>
      <c r="C9" t="s">
        <v>99</v>
      </c>
      <c r="D9" t="b">
        <v>0</v>
      </c>
      <c r="E9" t="s">
        <v>97</v>
      </c>
    </row>
    <row r="10" spans="1:5" x14ac:dyDescent="0.25">
      <c r="A10" t="str">
        <f>CreateGuidString()</f>
        <v>{FC0446C8-02EA-4A72-808E-A6561AD77F2F}</v>
      </c>
      <c r="B10" t="s">
        <v>95</v>
      </c>
      <c r="C10" t="s">
        <v>100</v>
      </c>
      <c r="D10" t="b">
        <v>0</v>
      </c>
      <c r="E10" t="s">
        <v>101</v>
      </c>
    </row>
    <row r="11" spans="1:5" x14ac:dyDescent="0.25">
      <c r="A11" t="str">
        <f>CreateGuidString()</f>
        <v>{DC40D66D-FF68-490E-B7D8-C0FD23990FEE}</v>
      </c>
      <c r="B11" t="s">
        <v>95</v>
      </c>
      <c r="C11" t="s">
        <v>102</v>
      </c>
      <c r="D11" t="b">
        <v>0</v>
      </c>
      <c r="E11" t="s">
        <v>103</v>
      </c>
    </row>
    <row r="12" spans="1:5" x14ac:dyDescent="0.25">
      <c r="A12" t="str">
        <f>CreateGuidString()</f>
        <v>{BEC9DA0C-B3E3-45D8-8D6C-C48015805E3E}</v>
      </c>
      <c r="B12" t="s">
        <v>104</v>
      </c>
      <c r="C12" t="s">
        <v>105</v>
      </c>
      <c r="D12" t="b">
        <v>1</v>
      </c>
      <c r="E12" t="s">
        <v>103</v>
      </c>
    </row>
    <row r="13" spans="1:5" x14ac:dyDescent="0.25">
      <c r="A13" t="str">
        <f t="shared" ref="A13:A15" si="0">CreateGuidString()</f>
        <v>{2E3D17A7-904F-4AA8-BBC6-CC3143A94A33}</v>
      </c>
      <c r="B13" t="s">
        <v>104</v>
      </c>
      <c r="C13" t="s">
        <v>106</v>
      </c>
      <c r="D13" t="b">
        <v>1</v>
      </c>
      <c r="E13" t="s">
        <v>103</v>
      </c>
    </row>
    <row r="14" spans="1:5" x14ac:dyDescent="0.25">
      <c r="A14" t="str">
        <f t="shared" si="0"/>
        <v>{09EFCC69-875E-4FFE-A5B2-8CD3B9069A27}</v>
      </c>
      <c r="B14" t="s">
        <v>104</v>
      </c>
      <c r="C14" t="s">
        <v>107</v>
      </c>
      <c r="D14" t="b">
        <v>1</v>
      </c>
      <c r="E14" t="s">
        <v>103</v>
      </c>
    </row>
    <row r="15" spans="1:5" x14ac:dyDescent="0.25">
      <c r="A15" t="str">
        <f t="shared" si="0"/>
        <v>{616FE61D-F01C-4E09-A54F-5DA3A7E286C7}</v>
      </c>
      <c r="B15" t="s">
        <v>104</v>
      </c>
      <c r="C15" t="s">
        <v>108</v>
      </c>
      <c r="D15" t="b">
        <v>1</v>
      </c>
      <c r="E15" t="s">
        <v>103</v>
      </c>
    </row>
    <row r="16" spans="1:5" x14ac:dyDescent="0.25">
      <c r="A16" t="str">
        <f>CreateGuidString()</f>
        <v>{9DD12F47-7563-4EFB-90A3-0AEF3575984A}</v>
      </c>
      <c r="B16" t="s">
        <v>128</v>
      </c>
      <c r="C16" t="s">
        <v>129</v>
      </c>
      <c r="D16" t="b">
        <v>0</v>
      </c>
      <c r="E16" t="s">
        <v>130</v>
      </c>
    </row>
    <row r="17" spans="1:5" x14ac:dyDescent="0.25">
      <c r="A17" t="str">
        <f>CreateGuidString()</f>
        <v>{33EE75E2-02E8-444A-8122-8F1DA7E082AC}</v>
      </c>
      <c r="B17" t="s">
        <v>131</v>
      </c>
      <c r="C17" t="s">
        <v>132</v>
      </c>
      <c r="D17" t="b">
        <v>0</v>
      </c>
      <c r="E17" t="s">
        <v>130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E8" sqref="E8"/>
    </sheetView>
  </sheetViews>
  <sheetFormatPr defaultRowHeight="15" x14ac:dyDescent="0.25"/>
  <cols>
    <col min="1" max="1" width="39.28515625" bestFit="1" customWidth="1"/>
    <col min="2" max="2" width="29.42578125" bestFit="1" customWidth="1"/>
    <col min="3" max="3" width="18.85546875" bestFit="1" customWidth="1"/>
    <col min="4" max="4" width="20.42578125" bestFit="1" customWidth="1"/>
    <col min="5" max="5" width="23.85546875" bestFit="1" customWidth="1"/>
    <col min="6" max="6" width="15.42578125" bestFit="1" customWidth="1"/>
  </cols>
  <sheetData>
    <row r="1" spans="1:6" x14ac:dyDescent="0.25">
      <c r="A1" t="s">
        <v>38</v>
      </c>
      <c r="B1" s="1" t="s">
        <v>39</v>
      </c>
    </row>
    <row r="2" spans="1:6" x14ac:dyDescent="0.25">
      <c r="A2" t="s">
        <v>40</v>
      </c>
      <c r="B2" s="1" t="s">
        <v>42</v>
      </c>
    </row>
    <row r="3" spans="1:6" x14ac:dyDescent="0.25">
      <c r="A3" t="s">
        <v>41</v>
      </c>
      <c r="B3" s="1" t="s">
        <v>48</v>
      </c>
    </row>
    <row r="5" spans="1:6" x14ac:dyDescent="0.25">
      <c r="A5" t="s">
        <v>37</v>
      </c>
      <c r="B5" t="s">
        <v>37</v>
      </c>
      <c r="C5" t="s">
        <v>37</v>
      </c>
      <c r="D5" t="s">
        <v>37</v>
      </c>
      <c r="E5" t="s">
        <v>52</v>
      </c>
      <c r="F5" t="s">
        <v>37</v>
      </c>
    </row>
    <row r="6" spans="1:6" x14ac:dyDescent="0.25">
      <c r="A6" t="s">
        <v>0</v>
      </c>
      <c r="B6" t="s">
        <v>13</v>
      </c>
      <c r="C6" t="s">
        <v>14</v>
      </c>
      <c r="D6" t="s">
        <v>5</v>
      </c>
      <c r="E6" t="s">
        <v>7</v>
      </c>
      <c r="F6" t="s">
        <v>6</v>
      </c>
    </row>
    <row r="7" spans="1:6" x14ac:dyDescent="0.25">
      <c r="A7" t="str">
        <f>CreateGuidString()</f>
        <v>{59BF1123-380E-448B-928B-55561E8CC79A}</v>
      </c>
      <c r="B7" t="s">
        <v>92</v>
      </c>
      <c r="C7" t="s">
        <v>93</v>
      </c>
      <c r="D7" t="s">
        <v>94</v>
      </c>
      <c r="E7" t="b">
        <v>0</v>
      </c>
      <c r="F7" t="s">
        <v>11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workbookViewId="0">
      <selection activeCell="E7" sqref="E7"/>
    </sheetView>
  </sheetViews>
  <sheetFormatPr defaultRowHeight="15" x14ac:dyDescent="0.25"/>
  <cols>
    <col min="1" max="1" width="38.85546875" bestFit="1" customWidth="1"/>
    <col min="2" max="2" width="29.42578125" bestFit="1" customWidth="1"/>
    <col min="3" max="3" width="11" bestFit="1" customWidth="1"/>
    <col min="4" max="4" width="11.140625" bestFit="1" customWidth="1"/>
    <col min="5" max="5" width="12.5703125" bestFit="1" customWidth="1"/>
  </cols>
  <sheetData>
    <row r="1" spans="1:5" x14ac:dyDescent="0.25">
      <c r="A1" t="s">
        <v>38</v>
      </c>
      <c r="B1" s="1" t="s">
        <v>39</v>
      </c>
    </row>
    <row r="2" spans="1:5" x14ac:dyDescent="0.25">
      <c r="A2" t="s">
        <v>40</v>
      </c>
      <c r="B2" s="1" t="s">
        <v>42</v>
      </c>
    </row>
    <row r="3" spans="1:5" x14ac:dyDescent="0.25">
      <c r="A3" t="s">
        <v>41</v>
      </c>
      <c r="B3" s="1" t="s">
        <v>47</v>
      </c>
    </row>
    <row r="5" spans="1:5" x14ac:dyDescent="0.25">
      <c r="A5" t="s">
        <v>37</v>
      </c>
      <c r="B5" t="s">
        <v>37</v>
      </c>
      <c r="C5" t="s">
        <v>37</v>
      </c>
      <c r="D5" t="s">
        <v>37</v>
      </c>
      <c r="E5" t="s">
        <v>37</v>
      </c>
    </row>
    <row r="6" spans="1:5" x14ac:dyDescent="0.25">
      <c r="A6" t="s">
        <v>0</v>
      </c>
      <c r="B6" t="s">
        <v>15</v>
      </c>
      <c r="C6" t="s">
        <v>16</v>
      </c>
      <c r="D6" t="s">
        <v>17</v>
      </c>
      <c r="E6" t="s">
        <v>18</v>
      </c>
    </row>
    <row r="7" spans="1:5" x14ac:dyDescent="0.25">
      <c r="A7" t="str">
        <f>CreateGuidString()</f>
        <v>{46A99E94-2696-4F42-9BC6-88909E203424}</v>
      </c>
    </row>
  </sheetData>
  <dataValidations count="1">
    <dataValidation type="list" allowBlank="1" showInputMessage="1" showErrorMessage="1" sqref="E7">
      <formula1>INDIRECT("ChangeTypes[ChangeTypes]")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"/>
  <sheetViews>
    <sheetView workbookViewId="0">
      <selection activeCell="D7" sqref="D7"/>
    </sheetView>
  </sheetViews>
  <sheetFormatPr defaultRowHeight="15" x14ac:dyDescent="0.25"/>
  <cols>
    <col min="1" max="1" width="39.5703125" bestFit="1" customWidth="1"/>
    <col min="2" max="2" width="29.42578125" bestFit="1" customWidth="1"/>
    <col min="3" max="3" width="21.5703125" bestFit="1" customWidth="1"/>
    <col min="4" max="4" width="26.42578125" bestFit="1" customWidth="1"/>
  </cols>
  <sheetData>
    <row r="1" spans="1:4" x14ac:dyDescent="0.25">
      <c r="A1" t="s">
        <v>38</v>
      </c>
      <c r="B1" s="1" t="s">
        <v>39</v>
      </c>
    </row>
    <row r="2" spans="1:4" x14ac:dyDescent="0.25">
      <c r="A2" t="s">
        <v>40</v>
      </c>
      <c r="B2" s="1" t="s">
        <v>42</v>
      </c>
    </row>
    <row r="3" spans="1:4" x14ac:dyDescent="0.25">
      <c r="A3" t="s">
        <v>41</v>
      </c>
      <c r="B3" s="1" t="s">
        <v>46</v>
      </c>
    </row>
    <row r="5" spans="1:4" x14ac:dyDescent="0.25">
      <c r="A5" t="s">
        <v>37</v>
      </c>
      <c r="B5" t="s">
        <v>159</v>
      </c>
      <c r="C5" t="s">
        <v>53</v>
      </c>
      <c r="D5" t="s">
        <v>37</v>
      </c>
    </row>
    <row r="6" spans="1:4" x14ac:dyDescent="0.25">
      <c r="A6" t="s">
        <v>0</v>
      </c>
      <c r="B6" t="s">
        <v>33</v>
      </c>
      <c r="C6" t="s">
        <v>34</v>
      </c>
      <c r="D6" t="s">
        <v>35</v>
      </c>
    </row>
    <row r="7" spans="1:4" x14ac:dyDescent="0.25">
      <c r="A7" t="str">
        <f>CreateGuidString()</f>
        <v>{FAB28304-314E-4729-900B-B79FE1D09A69}</v>
      </c>
    </row>
  </sheetData>
  <dataValidations count="1">
    <dataValidation type="list" allowBlank="1" showInputMessage="1" showErrorMessage="1" sqref="D7">
      <formula1>INDIRECT("TimeUnits[TimeUnits]")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tabSelected="1" workbookViewId="0">
      <selection activeCell="E19" sqref="E19"/>
    </sheetView>
  </sheetViews>
  <sheetFormatPr defaultRowHeight="15" x14ac:dyDescent="0.25"/>
  <cols>
    <col min="1" max="1" width="40.5703125" bestFit="1" customWidth="1"/>
    <col min="2" max="2" width="62.28515625" bestFit="1" customWidth="1"/>
    <col min="3" max="3" width="16.28515625" bestFit="1" customWidth="1"/>
    <col min="4" max="4" width="13.7109375" bestFit="1" customWidth="1"/>
    <col min="5" max="5" width="10.5703125" bestFit="1" customWidth="1"/>
  </cols>
  <sheetData>
    <row r="1" spans="1:5" x14ac:dyDescent="0.25">
      <c r="A1" t="s">
        <v>38</v>
      </c>
      <c r="B1" s="1" t="s">
        <v>39</v>
      </c>
    </row>
    <row r="2" spans="1:5" x14ac:dyDescent="0.25">
      <c r="A2" t="s">
        <v>40</v>
      </c>
      <c r="B2" s="1" t="s">
        <v>42</v>
      </c>
    </row>
    <row r="3" spans="1:5" x14ac:dyDescent="0.25">
      <c r="A3" t="s">
        <v>41</v>
      </c>
      <c r="B3" s="1" t="s">
        <v>45</v>
      </c>
    </row>
    <row r="5" spans="1:5" x14ac:dyDescent="0.25">
      <c r="A5" t="s">
        <v>37</v>
      </c>
      <c r="B5" t="s">
        <v>37</v>
      </c>
      <c r="C5" t="s">
        <v>52</v>
      </c>
      <c r="D5" t="s">
        <v>37</v>
      </c>
      <c r="E5" t="s">
        <v>52</v>
      </c>
    </row>
    <row r="6" spans="1:5" x14ac:dyDescent="0.25">
      <c r="A6" t="s">
        <v>19</v>
      </c>
      <c r="B6" t="s">
        <v>20</v>
      </c>
      <c r="C6" t="s">
        <v>21</v>
      </c>
      <c r="D6" t="s">
        <v>22</v>
      </c>
      <c r="E6" t="s">
        <v>23</v>
      </c>
    </row>
    <row r="7" spans="1:5" x14ac:dyDescent="0.25">
      <c r="A7" t="str">
        <f>CreateGuidString()</f>
        <v>{9D89737C-BA72-4135-B18C-7AA94FDF5050}</v>
      </c>
      <c r="B7" t="s">
        <v>80</v>
      </c>
      <c r="C7" t="b">
        <v>1</v>
      </c>
      <c r="D7" t="s">
        <v>81</v>
      </c>
      <c r="E7" t="b">
        <v>0</v>
      </c>
    </row>
    <row r="8" spans="1:5" x14ac:dyDescent="0.25">
      <c r="A8" t="str">
        <f t="shared" ref="A8:A16" si="0">CreateGuidString()</f>
        <v>{878B6FAE-1220-42BF-951C-8250A785E5DD}</v>
      </c>
      <c r="B8" t="s">
        <v>82</v>
      </c>
      <c r="C8" t="b">
        <v>1</v>
      </c>
      <c r="D8" t="s">
        <v>91</v>
      </c>
      <c r="E8" t="b">
        <v>0</v>
      </c>
    </row>
    <row r="9" spans="1:5" x14ac:dyDescent="0.25">
      <c r="A9" t="str">
        <f t="shared" si="0"/>
        <v>{A5EEF774-2AAA-4CD6-8BB7-46A3FCA3AF8F}</v>
      </c>
      <c r="B9" t="s">
        <v>83</v>
      </c>
      <c r="C9" t="b">
        <v>0</v>
      </c>
      <c r="E9" t="b">
        <v>1</v>
      </c>
    </row>
    <row r="10" spans="1:5" x14ac:dyDescent="0.25">
      <c r="A10" t="str">
        <f t="shared" si="0"/>
        <v>{C3323622-0118-4CE8-83AB-84A213D45CA1}</v>
      </c>
      <c r="B10" t="s">
        <v>84</v>
      </c>
      <c r="C10" t="b">
        <v>0</v>
      </c>
      <c r="E10" t="b">
        <v>0</v>
      </c>
    </row>
    <row r="11" spans="1:5" x14ac:dyDescent="0.25">
      <c r="A11" t="str">
        <f t="shared" si="0"/>
        <v>{575A5DC6-5A4C-4239-84B1-A0A4A6BD92A3}</v>
      </c>
      <c r="B11" t="s">
        <v>85</v>
      </c>
      <c r="C11" t="b">
        <v>0</v>
      </c>
      <c r="E11" t="b">
        <v>1</v>
      </c>
    </row>
    <row r="12" spans="1:5" x14ac:dyDescent="0.25">
      <c r="A12" t="str">
        <f t="shared" si="0"/>
        <v>{20D88921-E15B-4299-82BD-E9A3CCABF87B}</v>
      </c>
      <c r="B12" t="s">
        <v>86</v>
      </c>
      <c r="C12" t="b">
        <v>0</v>
      </c>
      <c r="E12" t="b">
        <v>0</v>
      </c>
    </row>
    <row r="13" spans="1:5" x14ac:dyDescent="0.25">
      <c r="A13" t="str">
        <f t="shared" si="0"/>
        <v>{6BD9B3B9-EC81-4824-B9F8-2F1EDD129757}</v>
      </c>
      <c r="B13" t="s">
        <v>87</v>
      </c>
      <c r="C13" t="b">
        <v>0</v>
      </c>
      <c r="E13" t="b">
        <v>0</v>
      </c>
    </row>
    <row r="14" spans="1:5" x14ac:dyDescent="0.25">
      <c r="A14" t="str">
        <f t="shared" si="0"/>
        <v>{4BA1BE46-D139-4E16-941A-D490C0FE36FF}</v>
      </c>
      <c r="B14" t="s">
        <v>88</v>
      </c>
      <c r="C14" t="b">
        <v>0</v>
      </c>
      <c r="E14" t="b">
        <v>0</v>
      </c>
    </row>
    <row r="15" spans="1:5" x14ac:dyDescent="0.25">
      <c r="A15" t="str">
        <f t="shared" si="0"/>
        <v>{7884AC63-66B7-4E16-8AE5-0750E6875CEB}</v>
      </c>
      <c r="B15" t="s">
        <v>89</v>
      </c>
      <c r="C15" t="b">
        <v>0</v>
      </c>
      <c r="E15" t="b">
        <v>0</v>
      </c>
    </row>
    <row r="16" spans="1:5" x14ac:dyDescent="0.25">
      <c r="A16" t="str">
        <f t="shared" si="0"/>
        <v>{50F6DFB6-0357-40EA-B33F-CB8B10C313CF}</v>
      </c>
      <c r="B16" t="s">
        <v>90</v>
      </c>
      <c r="C16" t="b">
        <v>0</v>
      </c>
      <c r="E16" t="b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8"/>
  <sheetViews>
    <sheetView workbookViewId="0">
      <selection activeCell="A17" sqref="A17"/>
    </sheetView>
  </sheetViews>
  <sheetFormatPr defaultRowHeight="15" x14ac:dyDescent="0.25"/>
  <cols>
    <col min="1" max="1" width="40.5703125" bestFit="1" customWidth="1"/>
    <col min="2" max="2" width="29.42578125" bestFit="1" customWidth="1"/>
    <col min="3" max="3" width="18.28515625" bestFit="1" customWidth="1"/>
    <col min="4" max="4" width="22.28515625" bestFit="1" customWidth="1"/>
    <col min="5" max="5" width="29.7109375" bestFit="1" customWidth="1"/>
    <col min="8" max="8" width="3.42578125" customWidth="1"/>
  </cols>
  <sheetData>
    <row r="1" spans="1:5" x14ac:dyDescent="0.25">
      <c r="A1" t="s">
        <v>38</v>
      </c>
      <c r="B1" s="1" t="s">
        <v>39</v>
      </c>
    </row>
    <row r="2" spans="1:5" x14ac:dyDescent="0.25">
      <c r="A2" t="s">
        <v>40</v>
      </c>
      <c r="B2" s="1" t="s">
        <v>42</v>
      </c>
    </row>
    <row r="3" spans="1:5" x14ac:dyDescent="0.25">
      <c r="A3" t="s">
        <v>41</v>
      </c>
      <c r="B3" s="1" t="s">
        <v>44</v>
      </c>
    </row>
    <row r="5" spans="1:5" x14ac:dyDescent="0.25">
      <c r="A5" t="s">
        <v>37</v>
      </c>
      <c r="B5" t="s">
        <v>37</v>
      </c>
      <c r="C5" t="s">
        <v>37</v>
      </c>
      <c r="D5" t="s">
        <v>37</v>
      </c>
      <c r="E5" t="s">
        <v>37</v>
      </c>
    </row>
    <row r="6" spans="1:5" x14ac:dyDescent="0.25">
      <c r="A6" t="s">
        <v>19</v>
      </c>
      <c r="B6" t="s">
        <v>24</v>
      </c>
      <c r="C6" t="s">
        <v>25</v>
      </c>
      <c r="D6" t="s">
        <v>26</v>
      </c>
      <c r="E6" t="s">
        <v>27</v>
      </c>
    </row>
    <row r="7" spans="1:5" x14ac:dyDescent="0.25">
      <c r="A7" t="str">
        <f>CreateGuidString()</f>
        <v>{60E63407-8BB1-411D-AE91-D210525D5714}</v>
      </c>
      <c r="B7" t="s">
        <v>78</v>
      </c>
      <c r="C7" t="s">
        <v>55</v>
      </c>
      <c r="D7" t="s">
        <v>54</v>
      </c>
      <c r="E7" t="s">
        <v>56</v>
      </c>
    </row>
    <row r="8" spans="1:5" x14ac:dyDescent="0.25">
      <c r="A8" t="str">
        <f t="shared" ref="A8:A28" si="0">CreateGuidString()</f>
        <v>{D0AD1385-90A4-4B29-A1B8-00E43360E5D1}</v>
      </c>
      <c r="B8" t="s">
        <v>78</v>
      </c>
      <c r="C8" t="s">
        <v>55</v>
      </c>
      <c r="D8" t="s">
        <v>54</v>
      </c>
      <c r="E8" t="s">
        <v>57</v>
      </c>
    </row>
    <row r="9" spans="1:5" x14ac:dyDescent="0.25">
      <c r="A9" t="str">
        <f t="shared" si="0"/>
        <v>{8E54CDA1-EB44-4DDC-8B49-3584969E4EC3}</v>
      </c>
      <c r="B9" t="s">
        <v>78</v>
      </c>
      <c r="C9" t="s">
        <v>55</v>
      </c>
      <c r="D9" t="s">
        <v>54</v>
      </c>
      <c r="E9" t="s">
        <v>58</v>
      </c>
    </row>
    <row r="10" spans="1:5" x14ac:dyDescent="0.25">
      <c r="A10" t="str">
        <f t="shared" si="0"/>
        <v>{18A0380A-0A2E-4CA2-A6A2-F4CECAAA053D}</v>
      </c>
      <c r="B10" t="s">
        <v>78</v>
      </c>
      <c r="C10" t="s">
        <v>55</v>
      </c>
      <c r="D10" t="s">
        <v>54</v>
      </c>
      <c r="E10" t="s">
        <v>59</v>
      </c>
    </row>
    <row r="11" spans="1:5" x14ac:dyDescent="0.25">
      <c r="A11" t="str">
        <f t="shared" si="0"/>
        <v>{D92A6692-4DB9-4ACC-B0CB-D144123B79E3}</v>
      </c>
      <c r="B11" t="s">
        <v>78</v>
      </c>
      <c r="C11" t="s">
        <v>55</v>
      </c>
      <c r="D11" t="s">
        <v>54</v>
      </c>
      <c r="E11" t="s">
        <v>60</v>
      </c>
    </row>
    <row r="12" spans="1:5" x14ac:dyDescent="0.25">
      <c r="A12" t="str">
        <f t="shared" si="0"/>
        <v>{92CC6041-766A-48F1-9DA9-7FB3F63841B0}</v>
      </c>
      <c r="B12" t="s">
        <v>78</v>
      </c>
      <c r="C12" t="s">
        <v>55</v>
      </c>
      <c r="D12" t="s">
        <v>54</v>
      </c>
      <c r="E12" t="s">
        <v>61</v>
      </c>
    </row>
    <row r="13" spans="1:5" x14ac:dyDescent="0.25">
      <c r="A13" t="str">
        <f t="shared" si="0"/>
        <v>{A246D7B3-EFC3-456A-B600-14B3D87CAE13}</v>
      </c>
      <c r="B13" t="s">
        <v>78</v>
      </c>
      <c r="C13" t="s">
        <v>55</v>
      </c>
      <c r="D13" t="s">
        <v>54</v>
      </c>
      <c r="E13" t="s">
        <v>62</v>
      </c>
    </row>
    <row r="14" spans="1:5" x14ac:dyDescent="0.25">
      <c r="A14" t="str">
        <f t="shared" si="0"/>
        <v>{4EA02B03-4DCF-45CB-A98D-83FC3931EC0C}</v>
      </c>
      <c r="B14" t="s">
        <v>78</v>
      </c>
      <c r="C14" t="s">
        <v>55</v>
      </c>
      <c r="D14" t="s">
        <v>54</v>
      </c>
      <c r="E14" t="s">
        <v>63</v>
      </c>
    </row>
    <row r="15" spans="1:5" x14ac:dyDescent="0.25">
      <c r="A15" t="str">
        <f t="shared" si="0"/>
        <v>{4A121549-922D-411F-9382-04921F1642A9}</v>
      </c>
      <c r="B15" t="s">
        <v>78</v>
      </c>
      <c r="C15" t="s">
        <v>55</v>
      </c>
      <c r="D15" t="s">
        <v>54</v>
      </c>
      <c r="E15" t="s">
        <v>64</v>
      </c>
    </row>
    <row r="16" spans="1:5" x14ac:dyDescent="0.25">
      <c r="A16" t="str">
        <f t="shared" si="0"/>
        <v>{1FA34A96-85F9-4FD8-B785-2BF0F946508F}</v>
      </c>
      <c r="B16" t="s">
        <v>78</v>
      </c>
      <c r="C16" t="s">
        <v>55</v>
      </c>
      <c r="D16" t="s">
        <v>54</v>
      </c>
      <c r="E16" t="s">
        <v>65</v>
      </c>
    </row>
    <row r="17" spans="1:5" x14ac:dyDescent="0.25">
      <c r="A17" t="str">
        <f t="shared" si="0"/>
        <v>{BC0DB46D-A7C1-49B4-BE0A-D617A0DEB8F9}</v>
      </c>
      <c r="B17" t="s">
        <v>78</v>
      </c>
      <c r="C17" t="s">
        <v>55</v>
      </c>
      <c r="D17" t="s">
        <v>54</v>
      </c>
      <c r="E17" t="s">
        <v>66</v>
      </c>
    </row>
    <row r="18" spans="1:5" x14ac:dyDescent="0.25">
      <c r="A18" t="str">
        <f t="shared" si="0"/>
        <v>{DFAC503E-EFD2-4B6E-BD19-7FEFC4847B4B}</v>
      </c>
      <c r="B18" t="s">
        <v>78</v>
      </c>
      <c r="C18" t="s">
        <v>55</v>
      </c>
      <c r="D18" t="s">
        <v>54</v>
      </c>
      <c r="E18" t="s">
        <v>67</v>
      </c>
    </row>
    <row r="19" spans="1:5" x14ac:dyDescent="0.25">
      <c r="A19" t="str">
        <f t="shared" si="0"/>
        <v>{BFB09FA3-C7AA-49BC-9C00-0653C139848D}</v>
      </c>
      <c r="B19" t="s">
        <v>78</v>
      </c>
      <c r="C19" t="s">
        <v>55</v>
      </c>
      <c r="D19" t="s">
        <v>54</v>
      </c>
      <c r="E19" t="s">
        <v>68</v>
      </c>
    </row>
    <row r="20" spans="1:5" x14ac:dyDescent="0.25">
      <c r="A20" t="str">
        <f t="shared" si="0"/>
        <v>{A29AF81D-71C1-4A38-AD56-E9DE9E1E4B38}</v>
      </c>
      <c r="B20" t="s">
        <v>78</v>
      </c>
      <c r="C20" t="s">
        <v>55</v>
      </c>
      <c r="D20" t="s">
        <v>54</v>
      </c>
      <c r="E20" t="s">
        <v>69</v>
      </c>
    </row>
    <row r="21" spans="1:5" x14ac:dyDescent="0.25">
      <c r="A21" t="str">
        <f t="shared" si="0"/>
        <v>{4186743A-805D-48A2-B73D-E041BB0C5E78}</v>
      </c>
      <c r="B21" t="s">
        <v>78</v>
      </c>
      <c r="C21" t="s">
        <v>55</v>
      </c>
      <c r="D21" t="s">
        <v>54</v>
      </c>
      <c r="E21" t="s">
        <v>70</v>
      </c>
    </row>
    <row r="22" spans="1:5" x14ac:dyDescent="0.25">
      <c r="A22" t="str">
        <f t="shared" si="0"/>
        <v>{BD95A194-70F2-4E27-8476-00E1FF431C00}</v>
      </c>
      <c r="B22" t="s">
        <v>78</v>
      </c>
      <c r="C22" t="s">
        <v>55</v>
      </c>
      <c r="D22" t="s">
        <v>54</v>
      </c>
      <c r="E22" t="s">
        <v>71</v>
      </c>
    </row>
    <row r="23" spans="1:5" x14ac:dyDescent="0.25">
      <c r="A23" t="str">
        <f t="shared" si="0"/>
        <v>{85550F9F-C71F-46F1-9A6D-EBD78B2D4DB8}</v>
      </c>
      <c r="B23" t="s">
        <v>78</v>
      </c>
      <c r="C23" t="s">
        <v>55</v>
      </c>
      <c r="D23" t="s">
        <v>54</v>
      </c>
      <c r="E23" t="s">
        <v>72</v>
      </c>
    </row>
    <row r="24" spans="1:5" x14ac:dyDescent="0.25">
      <c r="A24" t="str">
        <f t="shared" si="0"/>
        <v>{8E7F53EB-BD25-4FDE-A39E-99A06BD77511}</v>
      </c>
      <c r="B24" t="s">
        <v>78</v>
      </c>
      <c r="C24" t="s">
        <v>55</v>
      </c>
      <c r="D24" t="s">
        <v>54</v>
      </c>
      <c r="E24" t="s">
        <v>73</v>
      </c>
    </row>
    <row r="25" spans="1:5" x14ac:dyDescent="0.25">
      <c r="A25" t="str">
        <f t="shared" si="0"/>
        <v>{3DA1949F-A7B0-442F-B65D-DB95F7772313}</v>
      </c>
      <c r="B25" t="s">
        <v>78</v>
      </c>
      <c r="C25" t="s">
        <v>55</v>
      </c>
      <c r="D25" t="s">
        <v>54</v>
      </c>
      <c r="E25" t="s">
        <v>74</v>
      </c>
    </row>
    <row r="26" spans="1:5" x14ac:dyDescent="0.25">
      <c r="A26" t="str">
        <f t="shared" si="0"/>
        <v>{D89B3F54-22F9-4FEC-812C-2CEF77EDA256}</v>
      </c>
      <c r="B26" t="s">
        <v>78</v>
      </c>
      <c r="C26" t="s">
        <v>55</v>
      </c>
      <c r="D26" t="s">
        <v>54</v>
      </c>
      <c r="E26" t="s">
        <v>75</v>
      </c>
    </row>
    <row r="27" spans="1:5" x14ac:dyDescent="0.25">
      <c r="A27" t="str">
        <f t="shared" si="0"/>
        <v>{0777B4EE-F716-4E07-905E-FBBA4C9974F5}</v>
      </c>
      <c r="B27" t="s">
        <v>78</v>
      </c>
      <c r="C27" t="s">
        <v>55</v>
      </c>
      <c r="D27" t="s">
        <v>54</v>
      </c>
      <c r="E27" t="s">
        <v>76</v>
      </c>
    </row>
    <row r="28" spans="1:5" x14ac:dyDescent="0.25">
      <c r="A28" t="str">
        <f t="shared" si="0"/>
        <v>{CC21E446-98B3-4018-B9BA-6DFB62ECAB3E}</v>
      </c>
      <c r="B28" t="s">
        <v>79</v>
      </c>
      <c r="C28" t="s">
        <v>181</v>
      </c>
      <c r="D28" t="s">
        <v>180</v>
      </c>
    </row>
  </sheetData>
  <sortState ref="I4:I81">
    <sortCondition ref="I81"/>
  </sortState>
  <dataValidations count="1">
    <dataValidation type="list" allowBlank="1" showInputMessage="1" showErrorMessage="1" sqref="B7:B28">
      <formula1>INDIRECT("RunTask[RunTask]")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F21"/>
  <sheetViews>
    <sheetView workbookViewId="0">
      <selection activeCell="H3" sqref="H3"/>
    </sheetView>
  </sheetViews>
  <sheetFormatPr defaultRowHeight="15" x14ac:dyDescent="0.25"/>
  <cols>
    <col min="2" max="2" width="10.42578125" customWidth="1"/>
    <col min="4" max="4" width="11" customWidth="1"/>
    <col min="6" max="6" width="14.85546875" customWidth="1"/>
  </cols>
  <sheetData>
    <row r="2" spans="2:6" x14ac:dyDescent="0.25">
      <c r="B2" t="s">
        <v>77</v>
      </c>
      <c r="D2" t="s">
        <v>152</v>
      </c>
      <c r="F2" t="s">
        <v>179</v>
      </c>
    </row>
    <row r="3" spans="2:6" x14ac:dyDescent="0.25">
      <c r="B3" t="s">
        <v>78</v>
      </c>
      <c r="D3" t="s">
        <v>153</v>
      </c>
      <c r="F3" t="s">
        <v>178</v>
      </c>
    </row>
    <row r="4" spans="2:6" x14ac:dyDescent="0.25">
      <c r="B4" t="s">
        <v>79</v>
      </c>
      <c r="D4" t="s">
        <v>154</v>
      </c>
      <c r="F4" t="s">
        <v>176</v>
      </c>
    </row>
    <row r="5" spans="2:6" x14ac:dyDescent="0.25">
      <c r="D5" t="s">
        <v>155</v>
      </c>
      <c r="F5" t="s">
        <v>175</v>
      </c>
    </row>
    <row r="6" spans="2:6" x14ac:dyDescent="0.25">
      <c r="D6" t="s">
        <v>156</v>
      </c>
      <c r="F6" t="s">
        <v>174</v>
      </c>
    </row>
    <row r="7" spans="2:6" x14ac:dyDescent="0.25">
      <c r="D7" t="s">
        <v>157</v>
      </c>
      <c r="F7" t="s">
        <v>177</v>
      </c>
    </row>
    <row r="8" spans="2:6" x14ac:dyDescent="0.25">
      <c r="D8" t="s">
        <v>158</v>
      </c>
      <c r="F8" t="s">
        <v>173</v>
      </c>
    </row>
    <row r="9" spans="2:6" x14ac:dyDescent="0.25">
      <c r="F9" t="s">
        <v>172</v>
      </c>
    </row>
    <row r="10" spans="2:6" x14ac:dyDescent="0.25">
      <c r="F10" t="s">
        <v>171</v>
      </c>
    </row>
    <row r="11" spans="2:6" x14ac:dyDescent="0.25">
      <c r="F11" t="s">
        <v>170</v>
      </c>
    </row>
    <row r="12" spans="2:6" x14ac:dyDescent="0.25">
      <c r="F12" t="s">
        <v>169</v>
      </c>
    </row>
    <row r="13" spans="2:6" x14ac:dyDescent="0.25">
      <c r="F13" t="s">
        <v>168</v>
      </c>
    </row>
    <row r="14" spans="2:6" x14ac:dyDescent="0.25">
      <c r="F14" t="s">
        <v>167</v>
      </c>
    </row>
    <row r="15" spans="2:6" x14ac:dyDescent="0.25">
      <c r="F15" t="s">
        <v>166</v>
      </c>
    </row>
    <row r="16" spans="2:6" x14ac:dyDescent="0.25">
      <c r="F16" t="s">
        <v>165</v>
      </c>
    </row>
    <row r="17" spans="6:6" x14ac:dyDescent="0.25">
      <c r="F17" t="s">
        <v>164</v>
      </c>
    </row>
    <row r="18" spans="6:6" x14ac:dyDescent="0.25">
      <c r="F18" t="s">
        <v>163</v>
      </c>
    </row>
    <row r="19" spans="6:6" x14ac:dyDescent="0.25">
      <c r="F19" t="s">
        <v>162</v>
      </c>
    </row>
    <row r="20" spans="6:6" x14ac:dyDescent="0.25">
      <c r="F20" t="s">
        <v>161</v>
      </c>
    </row>
    <row r="21" spans="6:6" x14ac:dyDescent="0.25">
      <c r="F21" t="s">
        <v>160</v>
      </c>
    </row>
  </sheetData>
  <sortState ref="A18:A54">
    <sortCondition ref="A18"/>
  </sortState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</vt:lpstr>
      <vt:lpstr>Task</vt:lpstr>
      <vt:lpstr>EmailTrigger</vt:lpstr>
      <vt:lpstr>FolderTrigger</vt:lpstr>
      <vt:lpstr>SharepointTrigger</vt:lpstr>
      <vt:lpstr>SqlTrigger</vt:lpstr>
      <vt:lpstr>TimeTrigger</vt:lpstr>
      <vt:lpstr>FileTask</vt:lpstr>
      <vt:lpstr>RunTask</vt:lpstr>
      <vt:lpstr>Checks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DE55</dc:creator>
  <cp:lastModifiedBy>DE55</cp:lastModifiedBy>
  <dcterms:created xsi:type="dcterms:W3CDTF">2018-03-16T12:38:16Z</dcterms:created>
  <dcterms:modified xsi:type="dcterms:W3CDTF">2018-03-16T18:56:07Z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{23CD6156-6DF8-4380-8F52-C6ED6D18EBC8}</vt:lpwstr>
  </property>
</Properties>
</file>